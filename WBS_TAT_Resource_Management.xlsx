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WBS" sheetId="2" state="visible" r:id="rId4"/>
    <sheet name="WBS Hierarchy" sheetId="3" state="visible" r:id="rId5"/>
    <sheet name="WBS Tree" sheetId="4" state="visible" r:id="rId6"/>
    <sheet name="Phase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<sst xmlns="http://schemas.openxmlformats.org/spreadsheetml/2006/main" count="503" uniqueCount="335">
  <si>
    <t xml:space="preserve">Work Breakdown Structure (WBS)</t>
  </si>
  <si>
    <t xml:space="preserve">TAT: Resource Management — Excavation and Lining Operations</t>
  </si>
  <si>
    <t xml:space="preserve">Project context</t>
  </si>
  <si>
    <t xml:space="preserve">Sub-project of the Trans-under-Atlantic Tunnel programme. Covers planning, excavation, lining and sealing, quality assurance, and maintenance handover for one delivery iteration.</t>
  </si>
  <si>
    <t xml:space="preserve">Workbook contents</t>
  </si>
  <si>
    <t xml:space="preserve">Cover</t>
  </si>
  <si>
    <t xml:space="preserve">Project context and workbook guide</t>
  </si>
  <si>
    <t xml:space="preserve">WBS</t>
  </si>
  <si>
    <t xml:space="preserve">Full hierarchical breakdown — 5 phases, 69 activities</t>
  </si>
  <si>
    <t xml:space="preserve">Phase Summary</t>
  </si>
  <si>
    <t xml:space="preserve">Activity counts and notes by phase</t>
  </si>
  <si>
    <t xml:space="preserve">Work Breakdown Structure</t>
  </si>
  <si>
    <t xml:space="preserve">5 phases · 69 activities</t>
  </si>
  <si>
    <t xml:space="preserve">WBS ID</t>
  </si>
  <si>
    <t xml:space="preserve">Level</t>
  </si>
  <si>
    <t xml:space="preserve">Phase / Activity</t>
  </si>
  <si>
    <t xml:space="preserve">Notes</t>
  </si>
  <si>
    <t xml:space="preserve">1.0</t>
  </si>
  <si>
    <t xml:space="preserve">Phase</t>
  </si>
  <si>
    <t xml:space="preserve">Design &amp; Planning</t>
  </si>
  <si>
    <t xml:space="preserve">15 activities</t>
  </si>
  <si>
    <t xml:space="preserve">1.1</t>
  </si>
  <si>
    <t xml:space="preserve">Activity</t>
  </si>
  <si>
    <t xml:space="preserve">Conduct site survey and environmental assessment</t>
  </si>
  <si>
    <t xml:space="preserve">1.2</t>
  </si>
  <si>
    <t xml:space="preserve">Define required skill sets for each role</t>
  </si>
  <si>
    <t xml:space="preserve">1.3</t>
  </si>
  <si>
    <t xml:space="preserve">Post job openings and recruit personnel</t>
  </si>
  <si>
    <t xml:space="preserve">1.4</t>
  </si>
  <si>
    <t xml:space="preserve">Screen applicants for qualifications</t>
  </si>
  <si>
    <t xml:space="preserve">1.5</t>
  </si>
  <si>
    <t xml:space="preserve">Schedule interviews with shortlisted candidates</t>
  </si>
  <si>
    <t xml:space="preserve">1.6</t>
  </si>
  <si>
    <t xml:space="preserve">Develop safety protocols and initial risk assessment</t>
  </si>
  <si>
    <t xml:space="preserve">1.7</t>
  </si>
  <si>
    <t xml:space="preserve">Identify and evaluate potential suppliers for materials</t>
  </si>
  <si>
    <t xml:space="preserve">1.8</t>
  </si>
  <si>
    <t xml:space="preserve">Negotiate and finalise contracts with suppliers</t>
  </si>
  <si>
    <t xml:space="preserve">1.9</t>
  </si>
  <si>
    <t xml:space="preserve">Plan facility layout for optimal resource flow</t>
  </si>
  <si>
    <t xml:space="preserve">1.10</t>
  </si>
  <si>
    <t xml:space="preserve">Define equipment specifications and requirements</t>
  </si>
  <si>
    <t xml:space="preserve">1.11</t>
  </si>
  <si>
    <t xml:space="preserve">Assign project team roles and responsibilities</t>
  </si>
  <si>
    <t xml:space="preserve">1.12</t>
  </si>
  <si>
    <t xml:space="preserve">Conduct project kickoff meeting</t>
  </si>
  <si>
    <t xml:space="preserve">1.13</t>
  </si>
  <si>
    <t xml:space="preserve">Develop communication plan for project updates</t>
  </si>
  <si>
    <t xml:space="preserve">1.14</t>
  </si>
  <si>
    <t xml:space="preserve">Schedule initial maintenance setup for key equipment</t>
  </si>
  <si>
    <t xml:space="preserve">1.15</t>
  </si>
  <si>
    <t xml:space="preserve">Document all planning procedures and decisions</t>
  </si>
  <si>
    <t xml:space="preserve">2.0</t>
  </si>
  <si>
    <t xml:space="preserve">Excavation</t>
  </si>
  <si>
    <t xml:space="preserve">2.1</t>
  </si>
  <si>
    <t xml:space="preserve">Set up and test the Tunnel Boring Machine (TBM)</t>
  </si>
  <si>
    <t xml:space="preserve">2.2</t>
  </si>
  <si>
    <t xml:space="preserve">Begin primary excavation work</t>
  </si>
  <si>
    <t xml:space="preserve">2.3</t>
  </si>
  <si>
    <t xml:space="preserve">Implement safety protocols for excavation</t>
  </si>
  <si>
    <t xml:space="preserve">2.4</t>
  </si>
  <si>
    <t xml:space="preserve">Assign labourers and establish excavation schedules</t>
  </si>
  <si>
    <t xml:space="preserve">2.5</t>
  </si>
  <si>
    <t xml:space="preserve">Arrange for material deliveries and debris removal logistics</t>
  </si>
  <si>
    <t xml:space="preserve">2.6</t>
  </si>
  <si>
    <t xml:space="preserve">Perform daily safety briefings for excavation team</t>
  </si>
  <si>
    <t xml:space="preserve">2.7</t>
  </si>
  <si>
    <t xml:space="preserve">Monitor material usage and reorder levels for excavation</t>
  </si>
  <si>
    <t xml:space="preserve">2.8</t>
  </si>
  <si>
    <t xml:space="preserve">Establish communication channels for excavation progress</t>
  </si>
  <si>
    <t xml:space="preserve">2.9</t>
  </si>
  <si>
    <t xml:space="preserve">Coordinate waste removal and recycling during excavation</t>
  </si>
  <si>
    <t xml:space="preserve">2.10</t>
  </si>
  <si>
    <t xml:space="preserve">Conduct quality checks on TBM performance</t>
  </si>
  <si>
    <t xml:space="preserve">2.11</t>
  </si>
  <si>
    <t xml:space="preserve">Perform weekly equipment maintenance and repairs</t>
  </si>
  <si>
    <t xml:space="preserve">2.12</t>
  </si>
  <si>
    <t xml:space="preserve">Document excavation progress and update project timeline</t>
  </si>
  <si>
    <t xml:space="preserve">2.13</t>
  </si>
  <si>
    <t xml:space="preserve">Coordinate transportation for debris disposal</t>
  </si>
  <si>
    <t xml:space="preserve">2.14</t>
  </si>
  <si>
    <t xml:space="preserve">Train workers on emergency evacuation procedures</t>
  </si>
  <si>
    <t xml:space="preserve">2.15</t>
  </si>
  <si>
    <t xml:space="preserve">Adjust excavation plan based on ground conditions</t>
  </si>
  <si>
    <t xml:space="preserve">3.0</t>
  </si>
  <si>
    <t xml:space="preserve">Lining &amp; Sealing</t>
  </si>
  <si>
    <t xml:space="preserve">3.1</t>
  </si>
  <si>
    <t xml:space="preserve">Begin concrete mixing and tunnel lining installation</t>
  </si>
  <si>
    <t xml:space="preserve">3.2</t>
  </si>
  <si>
    <t xml:space="preserve">Monitor inventory levels of concrete and sealing materials</t>
  </si>
  <si>
    <t xml:space="preserve">3.3</t>
  </si>
  <si>
    <t xml:space="preserve">Assign equipment operators for lining and sealing machinery</t>
  </si>
  <si>
    <t xml:space="preserve">3.4</t>
  </si>
  <si>
    <t xml:space="preserve">Establish waterproofing procedures and apply sealants</t>
  </si>
  <si>
    <t xml:space="preserve">3.5</t>
  </si>
  <si>
    <t xml:space="preserve">Schedule ventilation and drainage installation activities</t>
  </si>
  <si>
    <t xml:space="preserve">3.6</t>
  </si>
  <si>
    <t xml:space="preserve">Conduct safety checks for lining and sealing operations</t>
  </si>
  <si>
    <t xml:space="preserve">3.7</t>
  </si>
  <si>
    <t xml:space="preserve">Monitor temperature and humidity during concrete setting</t>
  </si>
  <si>
    <t xml:space="preserve">3.8</t>
  </si>
  <si>
    <t xml:space="preserve">Perform bi-weekly maintenance on lining equipment</t>
  </si>
  <si>
    <t xml:space="preserve">3.9</t>
  </si>
  <si>
    <t xml:space="preserve">Document material usage and monitor stock levels</t>
  </si>
  <si>
    <t xml:space="preserve">3.10</t>
  </si>
  <si>
    <t xml:space="preserve">Review and inspect installed lining for quality control</t>
  </si>
  <si>
    <t xml:space="preserve">3.11</t>
  </si>
  <si>
    <t xml:space="preserve">Coordinate logistics for sealant material deliveries</t>
  </si>
  <si>
    <t xml:space="preserve">3.12</t>
  </si>
  <si>
    <t xml:space="preserve">Update project timeline based on sealing phase progress</t>
  </si>
  <si>
    <t xml:space="preserve">3.13</t>
  </si>
  <si>
    <t xml:space="preserve">Inspect and adjust ventilation equipment installation</t>
  </si>
  <si>
    <t xml:space="preserve">3.14</t>
  </si>
  <si>
    <t xml:space="preserve">Establish fire safety protocols for sealing materials</t>
  </si>
  <si>
    <t xml:space="preserve">3.15</t>
  </si>
  <si>
    <t xml:space="preserve">Conduct training for workers on sealant application</t>
  </si>
  <si>
    <t xml:space="preserve">4.0</t>
  </si>
  <si>
    <t xml:space="preserve">Quality Assurance</t>
  </si>
  <si>
    <t xml:space="preserve">8 activities</t>
  </si>
  <si>
    <t xml:space="preserve">4.1</t>
  </si>
  <si>
    <t xml:space="preserve">Conduct structural and safety inspections for completed sections</t>
  </si>
  <si>
    <t xml:space="preserve">4.2</t>
  </si>
  <si>
    <t xml:space="preserve">Review quality of materials used in each phase</t>
  </si>
  <si>
    <t xml:space="preserve">4.3</t>
  </si>
  <si>
    <t xml:space="preserve">Conduct system testing for tunnel safety</t>
  </si>
  <si>
    <t xml:space="preserve">4.4</t>
  </si>
  <si>
    <t xml:space="preserve">Perform final adjustments as needed based on inspection results</t>
  </si>
  <si>
    <t xml:space="preserve">4.5</t>
  </si>
  <si>
    <t xml:space="preserve">Document results of quality inspections and system tests</t>
  </si>
  <si>
    <t xml:space="preserve">4.6</t>
  </si>
  <si>
    <t xml:space="preserve">Perform a comprehensive maintenance inspection of all equipment</t>
  </si>
  <si>
    <t xml:space="preserve">4.7</t>
  </si>
  <si>
    <t xml:space="preserve">Schedule additional repairs or adjustments as needed</t>
  </si>
  <si>
    <t xml:space="preserve">4.8</t>
  </si>
  <si>
    <t xml:space="preserve">Finalise safety protocols for completed tunnel sections</t>
  </si>
  <si>
    <t xml:space="preserve">5.0</t>
  </si>
  <si>
    <t xml:space="preserve">Maintenance &amp; Control</t>
  </si>
  <si>
    <t xml:space="preserve">16 activities</t>
  </si>
  <si>
    <t xml:space="preserve">5.1</t>
  </si>
  <si>
    <t xml:space="preserve">Update equipment records and document condition for handover</t>
  </si>
  <si>
    <t xml:space="preserve">5.2</t>
  </si>
  <si>
    <t xml:space="preserve">Develop a punch list of items needing adjustment</t>
  </si>
  <si>
    <t xml:space="preserve">5.3</t>
  </si>
  <si>
    <t xml:space="preserve">Conduct follow-up inspections to ensure all adjustments are complete</t>
  </si>
  <si>
    <t xml:space="preserve">5.4</t>
  </si>
  <si>
    <t xml:space="preserve">Coordinate final approval from safety inspectors</t>
  </si>
  <si>
    <t xml:space="preserve">5.5</t>
  </si>
  <si>
    <t xml:space="preserve">Perform mock drills for emergency preparedness</t>
  </si>
  <si>
    <t xml:space="preserve">5.6</t>
  </si>
  <si>
    <t xml:space="preserve">Organise a project review meeting for quality assessment</t>
  </si>
  <si>
    <t xml:space="preserve">5.7</t>
  </si>
  <si>
    <t xml:space="preserve">Finalise and distribute quality inspection reports</t>
  </si>
  <si>
    <t xml:space="preserve">5.8</t>
  </si>
  <si>
    <t xml:space="preserve">Develop a preventive maintenance schedule for equipment</t>
  </si>
  <si>
    <t xml:space="preserve">5.9</t>
  </si>
  <si>
    <t xml:space="preserve">Assign maintenance personnel for routine tasks</t>
  </si>
  <si>
    <t xml:space="preserve">5.10</t>
  </si>
  <si>
    <t xml:space="preserve">Perform monthly preventive maintenance checks</t>
  </si>
  <si>
    <t xml:space="preserve">5.11</t>
  </si>
  <si>
    <t xml:space="preserve">Conduct quarterly inspections of heavy machinery</t>
  </si>
  <si>
    <t xml:space="preserve">5.12</t>
  </si>
  <si>
    <t xml:space="preserve">Review and update equipment maintenance logs</t>
  </si>
  <si>
    <t xml:space="preserve">5.13</t>
  </si>
  <si>
    <t xml:space="preserve">Establish spare parts inventory and reorder levels</t>
  </si>
  <si>
    <t xml:space="preserve">5.14</t>
  </si>
  <si>
    <t xml:space="preserve">Train maintenance staff on critical equipment handling</t>
  </si>
  <si>
    <t xml:space="preserve">5.15</t>
  </si>
  <si>
    <t xml:space="preserve">Conduct final equipment inspections before handover</t>
  </si>
  <si>
    <t xml:space="preserve">5.16</t>
  </si>
  <si>
    <t xml:space="preserve">Archive all maintenance and project documentation</t>
  </si>
  <si>
    <t xml:space="preserve">WBS — Indented Hierarchy</t>
  </si>
  <si>
    <t xml:space="preserve">TAT: Resource Management — 5 phases · 69 activities</t>
  </si>
  <si>
    <t xml:space="preserve">0.0</t>
  </si>
  <si>
    <t xml:space="preserve">TAT: Resource Management</t>
  </si>
  <si>
    <t xml:space="preserve">  1.1</t>
  </si>
  <si>
    <t xml:space="preserve">  1.2</t>
  </si>
  <si>
    <t xml:space="preserve">  1.3</t>
  </si>
  <si>
    <t xml:space="preserve">  1.4</t>
  </si>
  <si>
    <t xml:space="preserve">  1.5</t>
  </si>
  <si>
    <t xml:space="preserve">  1.6</t>
  </si>
  <si>
    <t xml:space="preserve">  1.7</t>
  </si>
  <si>
    <t xml:space="preserve">  1.8</t>
  </si>
  <si>
    <t xml:space="preserve">  1.9</t>
  </si>
  <si>
    <t xml:space="preserve">  1.10</t>
  </si>
  <si>
    <t xml:space="preserve">  1.11</t>
  </si>
  <si>
    <t xml:space="preserve">  1.12</t>
  </si>
  <si>
    <t xml:space="preserve">  1.13</t>
  </si>
  <si>
    <t xml:space="preserve">  1.14</t>
  </si>
  <si>
    <t xml:space="preserve">  1.15</t>
  </si>
  <si>
    <t xml:space="preserve">  2.1</t>
  </si>
  <si>
    <t xml:space="preserve">  2.2</t>
  </si>
  <si>
    <t xml:space="preserve">  2.3</t>
  </si>
  <si>
    <t xml:space="preserve">  2.4</t>
  </si>
  <si>
    <t xml:space="preserve">  2.5</t>
  </si>
  <si>
    <t xml:space="preserve">  2.6</t>
  </si>
  <si>
    <t xml:space="preserve">  2.7</t>
  </si>
  <si>
    <t xml:space="preserve">  2.8</t>
  </si>
  <si>
    <t xml:space="preserve">  2.9</t>
  </si>
  <si>
    <t xml:space="preserve">  2.10</t>
  </si>
  <si>
    <t xml:space="preserve">  2.11</t>
  </si>
  <si>
    <t xml:space="preserve">  2.12</t>
  </si>
  <si>
    <t xml:space="preserve">  2.13</t>
  </si>
  <si>
    <t xml:space="preserve">  2.14</t>
  </si>
  <si>
    <t xml:space="preserve">  2.15</t>
  </si>
  <si>
    <t xml:space="preserve">  3.1</t>
  </si>
  <si>
    <t xml:space="preserve">  3.2</t>
  </si>
  <si>
    <t xml:space="preserve">  3.3</t>
  </si>
  <si>
    <t xml:space="preserve">  3.4</t>
  </si>
  <si>
    <t xml:space="preserve">  3.5</t>
  </si>
  <si>
    <t xml:space="preserve">  3.6</t>
  </si>
  <si>
    <t xml:space="preserve">  3.7</t>
  </si>
  <si>
    <t xml:space="preserve">  3.8</t>
  </si>
  <si>
    <t xml:space="preserve">  3.9</t>
  </si>
  <si>
    <t xml:space="preserve">  3.10</t>
  </si>
  <si>
    <t xml:space="preserve">  3.11</t>
  </si>
  <si>
    <t xml:space="preserve">  3.12</t>
  </si>
  <si>
    <t xml:space="preserve">  3.13</t>
  </si>
  <si>
    <t xml:space="preserve">  3.14</t>
  </si>
  <si>
    <t xml:space="preserve">  3.15</t>
  </si>
  <si>
    <t xml:space="preserve">  4.1</t>
  </si>
  <si>
    <t xml:space="preserve">  4.2</t>
  </si>
  <si>
    <t xml:space="preserve">  4.3</t>
  </si>
  <si>
    <t xml:space="preserve">  4.4</t>
  </si>
  <si>
    <t xml:space="preserve">  4.5</t>
  </si>
  <si>
    <t xml:space="preserve">  4.6</t>
  </si>
  <si>
    <t xml:space="preserve">  4.7</t>
  </si>
  <si>
    <t xml:space="preserve">  4.8</t>
  </si>
  <si>
    <t xml:space="preserve">  5.1</t>
  </si>
  <si>
    <t xml:space="preserve">  5.2</t>
  </si>
  <si>
    <t xml:space="preserve">  5.3</t>
  </si>
  <si>
    <t xml:space="preserve">  5.4</t>
  </si>
  <si>
    <t xml:space="preserve">  5.5</t>
  </si>
  <si>
    <t xml:space="preserve">  5.6</t>
  </si>
  <si>
    <t xml:space="preserve">  5.7</t>
  </si>
  <si>
    <t xml:space="preserve">  5.8</t>
  </si>
  <si>
    <t xml:space="preserve">  5.9</t>
  </si>
  <si>
    <t xml:space="preserve">  5.10</t>
  </si>
  <si>
    <t xml:space="preserve">  5.11</t>
  </si>
  <si>
    <t xml:space="preserve">  5.12</t>
  </si>
  <si>
    <t xml:space="preserve">  5.13</t>
  </si>
  <si>
    <t xml:space="preserve">  5.14</t>
  </si>
  <si>
    <t xml:space="preserve">  5.15</t>
  </si>
  <si>
    <t xml:space="preserve">  5.16</t>
  </si>
  <si>
    <t xml:space="preserve">Legend</t>
  </si>
  <si>
    <t xml:space="preserve">Project root</t>
  </si>
  <si>
    <t xml:space="preserve">Phase 1 — Design &amp; Planning</t>
  </si>
  <si>
    <t xml:space="preserve">Phase 2 — Excavation</t>
  </si>
  <si>
    <t xml:space="preserve">Phase 3 — Lining &amp; Sealing</t>
  </si>
  <si>
    <t xml:space="preserve">Phase 4 — Quality Assurance</t>
  </si>
  <si>
    <t xml:space="preserve">Phase 5 — Maintenance &amp; Control</t>
  </si>
  <si>
    <t xml:space="preserve">WBS Tree — SmartArt View</t>
  </si>
  <si>
    <t xml:space="preserve">Overview — Project to Phases</t>
  </si>
  <si>
    <t xml:space="preserve">1.0
Design &amp; Planning</t>
  </si>
  <si>
    <t xml:space="preserve">2.0
Excavation</t>
  </si>
  <si>
    <t xml:space="preserve">3.0
Lining &amp; Sealing</t>
  </si>
  <si>
    <t xml:space="preserve">4.0
Quality Assurance</t>
  </si>
  <si>
    <t xml:space="preserve">5.0
Maintenance &amp; Control</t>
  </si>
  <si>
    <t xml:space="preserve">Phase Detail — Activities by Phase</t>
  </si>
  <si>
    <t xml:space="preserve">1.0  Design &amp; Planning  (15 activities)</t>
  </si>
  <si>
    <t xml:space="preserve">1.1
Conduct site survey and environmental assessment</t>
  </si>
  <si>
    <t xml:space="preserve">1.2
Define required skill sets for each role</t>
  </si>
  <si>
    <t xml:space="preserve">1.3
Post job openings and recruit personnel</t>
  </si>
  <si>
    <t xml:space="preserve">1.4
Screen applicants for qualifications</t>
  </si>
  <si>
    <t xml:space="preserve">1.5
Schedule interviews with shortlisted candidates</t>
  </si>
  <si>
    <t xml:space="preserve">1.6
Develop safety protocols and initial risk assessment</t>
  </si>
  <si>
    <t xml:space="preserve">1.7
Identify and evaluate potential suppliers for materials</t>
  </si>
  <si>
    <t xml:space="preserve">1.8
Negotiate and finalise contracts with suppliers</t>
  </si>
  <si>
    <t xml:space="preserve">1.9
Plan facility layout for optimal resource flow</t>
  </si>
  <si>
    <t xml:space="preserve">1.10
Define equipment specifications and requirements</t>
  </si>
  <si>
    <t xml:space="preserve">1.11
Assign project team roles and responsibilities</t>
  </si>
  <si>
    <t xml:space="preserve">1.12
Conduct project kickoff meeting</t>
  </si>
  <si>
    <t xml:space="preserve">1.13
Develop communication plan for project updates</t>
  </si>
  <si>
    <t xml:space="preserve">1.14
Schedule initial maintenance setup for key equipment</t>
  </si>
  <si>
    <t xml:space="preserve">1.15
Document all planning procedures and decisions</t>
  </si>
  <si>
    <t xml:space="preserve">2.0  Excavation  (15 activities)</t>
  </si>
  <si>
    <t xml:space="preserve">2.1
Set up and test the Tunnel Boring Machine (TBM)</t>
  </si>
  <si>
    <t xml:space="preserve">2.2
Begin primary excavation work</t>
  </si>
  <si>
    <t xml:space="preserve">2.3
Implement safety protocols for excavation</t>
  </si>
  <si>
    <t xml:space="preserve">2.4
Assign labourers and establish excavation schedules</t>
  </si>
  <si>
    <t xml:space="preserve">2.5
Arrange for material deliveries and debris removal logistics</t>
  </si>
  <si>
    <t xml:space="preserve">2.6
Perform daily safety briefings for excavation team</t>
  </si>
  <si>
    <t xml:space="preserve">2.7
Monitor material usage and reorder levels for excavation</t>
  </si>
  <si>
    <t xml:space="preserve">2.8
Establish communication channels for excavation progress</t>
  </si>
  <si>
    <t xml:space="preserve">2.9
Coordinate waste removal and recycling during excavation</t>
  </si>
  <si>
    <t xml:space="preserve">2.10
Conduct quality checks on TBM performance</t>
  </si>
  <si>
    <t xml:space="preserve">2.11
Perform weekly equipment maintenance and repairs</t>
  </si>
  <si>
    <t xml:space="preserve">2.12
Document excavation progress and update project timeline</t>
  </si>
  <si>
    <t xml:space="preserve">2.13
Coordinate transportation for debris disposal</t>
  </si>
  <si>
    <t xml:space="preserve">2.14
Train workers on emergency evacuation procedures</t>
  </si>
  <si>
    <t xml:space="preserve">2.15
Adjust excavation plan based on ground conditions</t>
  </si>
  <si>
    <t xml:space="preserve">3.0  Lining &amp; Sealing  (15 activities)</t>
  </si>
  <si>
    <t xml:space="preserve">3.1
Begin concrete mixing and tunnel lining installation</t>
  </si>
  <si>
    <t xml:space="preserve">3.2
Monitor inventory levels of concrete and sealing materials</t>
  </si>
  <si>
    <t xml:space="preserve">3.3
Assign equipment operators for lining and sealing machinery</t>
  </si>
  <si>
    <t xml:space="preserve">3.4
Establish waterproofing procedures and apply sealants</t>
  </si>
  <si>
    <t xml:space="preserve">3.5
Schedule ventilation and drainage installation activities</t>
  </si>
  <si>
    <t xml:space="preserve">3.6
Conduct safety checks for lining and sealing operations</t>
  </si>
  <si>
    <t xml:space="preserve">3.7
Monitor temperature and humidity during concrete setting</t>
  </si>
  <si>
    <t xml:space="preserve">3.8
Perform bi-weekly maintenance on lining equipment</t>
  </si>
  <si>
    <t xml:space="preserve">3.9
Document material usage and monitor stock levels</t>
  </si>
  <si>
    <t xml:space="preserve">3.10
Review and inspect installed lining for quality control</t>
  </si>
  <si>
    <t xml:space="preserve">3.11
Coordinate logistics for sealant material deliveries</t>
  </si>
  <si>
    <t xml:space="preserve">3.12
Update project timeline based on sealing phase progress</t>
  </si>
  <si>
    <t xml:space="preserve">3.13
Inspect and adjust ventilation equipment installation</t>
  </si>
  <si>
    <t xml:space="preserve">3.14
Establish fire safety protocols for sealing materials</t>
  </si>
  <si>
    <t xml:space="preserve">3.15
Conduct training for workers on sealant application</t>
  </si>
  <si>
    <t xml:space="preserve">4.0  Quality Assurance  (8 activities)</t>
  </si>
  <si>
    <t xml:space="preserve">4.1
Conduct structural and safety inspections for completed sections</t>
  </si>
  <si>
    <t xml:space="preserve">4.2
Review quality of materials used in each phase</t>
  </si>
  <si>
    <t xml:space="preserve">4.3
Conduct system testing for tunnel safety</t>
  </si>
  <si>
    <t xml:space="preserve">4.4
Perform final adjustments as needed based on inspection results</t>
  </si>
  <si>
    <t xml:space="preserve">4.5
Document results of quality inspections and system tests</t>
  </si>
  <si>
    <t xml:space="preserve">4.6
Perform a comprehensive maintenance inspection of all equipment</t>
  </si>
  <si>
    <t xml:space="preserve">4.7
Schedule additional repairs or adjustments as needed</t>
  </si>
  <si>
    <t xml:space="preserve">4.8
Finalise safety protocols for completed tunnel sections</t>
  </si>
  <si>
    <t xml:space="preserve">5.0  Maintenance &amp; Control  (16 activities)</t>
  </si>
  <si>
    <t xml:space="preserve">5.1
Update equipment records and document condition for handover</t>
  </si>
  <si>
    <t xml:space="preserve">5.2
Develop a punch list of items needing adjustment</t>
  </si>
  <si>
    <t xml:space="preserve">5.3
Conduct follow-up inspections to ensure all adjustments are complete</t>
  </si>
  <si>
    <t xml:space="preserve">5.4
Coordinate final approval from safety inspectors</t>
  </si>
  <si>
    <t xml:space="preserve">5.5
Perform mock drills for emergency preparedness</t>
  </si>
  <si>
    <t xml:space="preserve">5.6
Organise a project review meeting for quality assessment</t>
  </si>
  <si>
    <t xml:space="preserve">5.7
Finalise and distribute quality inspection reports</t>
  </si>
  <si>
    <t xml:space="preserve">5.8
Develop a preventive maintenance schedule for equipment</t>
  </si>
  <si>
    <t xml:space="preserve">5.9
Assign maintenance personnel for routine tasks</t>
  </si>
  <si>
    <t xml:space="preserve">5.10
Perform monthly preventive maintenance checks</t>
  </si>
  <si>
    <t xml:space="preserve">5.11
Conduct quarterly inspections of heavy machinery</t>
  </si>
  <si>
    <t xml:space="preserve">5.12
Review and update equipment maintenance logs</t>
  </si>
  <si>
    <t xml:space="preserve">5.13
Establish spare parts inventory and reorder levels</t>
  </si>
  <si>
    <t xml:space="preserve">5.14
Train maintenance staff on critical equipment handling</t>
  </si>
  <si>
    <t xml:space="preserve">5.15
Conduct final equipment inspections before handover</t>
  </si>
  <si>
    <t xml:space="preserve">5.16
Archive all maintenance and project documentation</t>
  </si>
  <si>
    <t xml:space="preserve">Activity Count</t>
  </si>
  <si>
    <t xml:space="preserve">Share of Total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</si>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</sst>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3D5C"/>
      <name val="Arial"/>
      <family val="0"/>
      <charset val="1"/>
    </font>
    <font>
      <sz val="12"/>
      <color rgb="FF595959"/>
      <name val="Arial"/>
      <family val="0"/>
      <charset val="1"/>
    </font>
    <font>
      <b val="true"/>
      <sz val="11"/>
      <color rgb="FF0F3D5C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0F3D5C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F3D5C"/>
      <name val="Arial"/>
      <family val="0"/>
      <charset val="1"/>
    </font>
    <font>
      <sz val="10"/>
      <color rgb="FF333333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0F3D5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333333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3D5C"/>
        <bgColor rgb="FF333333"/>
      </patternFill>
    </fill>
    <fill>
      <patternFill patternType="solid">
        <fgColor rgb="FFD9E8F2"/>
        <bgColor rgb="FFD9D9D9"/>
      </patternFill>
    </fill>
    <fill>
      <patternFill patternType="solid">
        <fgColor rgb="FFF2F2F2"/>
        <bgColor rgb="FFF7F9FB"/>
      </patternFill>
    </fill>
    <fill>
      <patternFill patternType="solid">
        <fgColor rgb="FF1F6091"/>
        <bgColor rgb="FF008080"/>
      </patternFill>
    </fill>
    <fill>
      <patternFill patternType="solid">
        <fgColor rgb="FFF7F9FB"/>
        <bgColor rgb="FFFFFFFF"/>
      </patternFill>
    </fill>
    <fill>
      <patternFill patternType="solid">
        <fgColor rgb="FF2E8B57"/>
        <bgColor rgb="FF008080"/>
      </patternFill>
    </fill>
    <fill>
      <patternFill patternType="solid">
        <fgColor rgb="FFB8860B"/>
        <bgColor rgb="FFFF9900"/>
      </patternFill>
    </fill>
    <fill>
      <patternFill patternType="solid">
        <fgColor rgb="FF8B4789"/>
        <bgColor rgb="FF993366"/>
      </patternFill>
    </fill>
    <fill>
      <patternFill patternType="solid">
        <fgColor rgb="FFB22222"/>
        <bgColor rgb="FF9933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 diagonalUp="false" diagonalDown="false">
      <left/>
      <right style="medium">
        <color rgb="FF333333"/>
      </right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808080"/>
      <rgbColor rgb="FF9999FF"/>
      <rgbColor rgb="FF8B4789"/>
      <rgbColor rgb="FFF7F9FB"/>
      <rgbColor rgb="FFD9E8F2"/>
      <rgbColor rgb="FF660066"/>
      <rgbColor rgb="FFFF8080"/>
      <rgbColor rgb="FF1F609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F3D5C"/>
      <rgbColor rgb="FF2E8B57"/>
      <rgbColor rgb="FF003300"/>
      <rgbColor rgb="FF333300"/>
      <rgbColor rgb="FFB222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75"/>
  </cols>
  <sheetData>
    <row r="2" customFormat="false" ht="24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45" hidden="false" customHeight="true" outlineLevel="0" collapsed="false">
      <c r="B6" s="5" t="s">
        <v>3</v>
      </c>
    </row>
    <row r="8" customFormat="false" ht="15" hidden="false" customHeight="true" outlineLevel="0" collapsed="false">
      <c r="B8" s="4" t="s">
        <v>4</v>
      </c>
    </row>
    <row r="9" customFormat="false" ht="15" hidden="false" customHeight="true" outlineLevel="0" collapsed="false">
      <c r="B9" s="6" t="s">
        <v>5</v>
      </c>
      <c r="C9" s="7" t="s">
        <v>6</v>
      </c>
    </row>
    <row r="10" customFormat="false" ht="15" hidden="false" customHeight="true" outlineLevel="0" collapsed="false">
      <c r="B10" s="6" t="s">
        <v>7</v>
      </c>
      <c r="C10" s="7" t="s">
        <v>8</v>
      </c>
    </row>
    <row r="11" customFormat="false" ht="15" hidden="false" customHeight="true" outlineLevel="0" collapsed="false">
      <c r="B11" s="6" t="s">
        <v>9</v>
      </c>
      <c r="C11" s="7" t="s">
        <v>10</v>
      </c>
    </row>
    <row r="13" customFormat="false" ht="15" hidden="false" customHeight="true" outlineLevel="0" collapsed="false">
      <c r="B13" s="4"/>
    </row>
    <row r="14" customFormat="false" ht="15" hidden="false" customHeight="true" outlineLevel="0" collapsed="false">
      <c r="B1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70"/>
    <col collapsed="false" customWidth="true" hidden="false" outlineLevel="0" max="4" min="4" style="1" width="30"/>
  </cols>
  <sheetData>
    <row r="1" customFormat="false" ht="19.5" hidden="false" customHeight="true" outlineLevel="0" collapsed="false">
      <c r="A1" s="8" t="s">
        <v>11</v>
      </c>
      <c r="B1" s="8"/>
      <c r="C1" s="8"/>
      <c r="D1" s="8"/>
    </row>
    <row r="2" customFormat="false" ht="15" hidden="false" customHeight="true" outlineLevel="0" collapsed="false">
      <c r="A2" s="9" t="s">
        <v>12</v>
      </c>
      <c r="B2" s="9"/>
      <c r="C2" s="9"/>
      <c r="D2" s="9"/>
    </row>
    <row r="4" customFormat="false" ht="21.75" hidden="false" customHeight="true" outlineLevel="0" collapsed="false">
      <c r="A4" s="10" t="s">
        <v>13</v>
      </c>
      <c r="B4" s="10" t="s">
        <v>14</v>
      </c>
      <c r="C4" s="10" t="s">
        <v>15</v>
      </c>
      <c r="D4" s="10" t="s">
        <v>16</v>
      </c>
    </row>
    <row r="5" customFormat="false" ht="15" hidden="false" customHeight="true" outlineLevel="0" collapsed="false">
      <c r="A5" s="11" t="s">
        <v>17</v>
      </c>
      <c r="B5" s="11" t="s">
        <v>18</v>
      </c>
      <c r="C5" s="11" t="s">
        <v>19</v>
      </c>
      <c r="D5" s="12" t="s">
        <v>20</v>
      </c>
    </row>
    <row r="6" customFormat="false" ht="15" hidden="false" customHeight="true" outlineLevel="0" collapsed="false">
      <c r="A6" s="13" t="s">
        <v>21</v>
      </c>
      <c r="B6" s="13" t="s">
        <v>22</v>
      </c>
      <c r="C6" s="13" t="s">
        <v>23</v>
      </c>
      <c r="D6" s="13"/>
    </row>
    <row r="7" customFormat="false" ht="15" hidden="false" customHeight="true" outlineLevel="0" collapsed="false">
      <c r="A7" s="14" t="s">
        <v>24</v>
      </c>
      <c r="B7" s="14" t="s">
        <v>22</v>
      </c>
      <c r="C7" s="14" t="s">
        <v>25</v>
      </c>
      <c r="D7" s="14"/>
    </row>
    <row r="8" customFormat="false" ht="15" hidden="false" customHeight="true" outlineLevel="0" collapsed="false">
      <c r="A8" s="13" t="s">
        <v>26</v>
      </c>
      <c r="B8" s="13" t="s">
        <v>22</v>
      </c>
      <c r="C8" s="13" t="s">
        <v>27</v>
      </c>
      <c r="D8" s="13"/>
    </row>
    <row r="9" customFormat="false" ht="15" hidden="false" customHeight="true" outlineLevel="0" collapsed="false">
      <c r="A9" s="14" t="s">
        <v>28</v>
      </c>
      <c r="B9" s="14" t="s">
        <v>22</v>
      </c>
      <c r="C9" s="14" t="s">
        <v>29</v>
      </c>
      <c r="D9" s="14"/>
    </row>
    <row r="10" customFormat="false" ht="15" hidden="false" customHeight="true" outlineLevel="0" collapsed="false">
      <c r="A10" s="13" t="s">
        <v>30</v>
      </c>
      <c r="B10" s="13" t="s">
        <v>22</v>
      </c>
      <c r="C10" s="13" t="s">
        <v>31</v>
      </c>
      <c r="D10" s="13"/>
    </row>
    <row r="11" customFormat="false" ht="15" hidden="false" customHeight="true" outlineLevel="0" collapsed="false">
      <c r="A11" s="14" t="s">
        <v>32</v>
      </c>
      <c r="B11" s="14" t="s">
        <v>22</v>
      </c>
      <c r="C11" s="14" t="s">
        <v>33</v>
      </c>
      <c r="D11" s="14"/>
    </row>
    <row r="12" customFormat="false" ht="15" hidden="false" customHeight="true" outlineLevel="0" collapsed="false">
      <c r="A12" s="13" t="s">
        <v>34</v>
      </c>
      <c r="B12" s="13" t="s">
        <v>22</v>
      </c>
      <c r="C12" s="13" t="s">
        <v>35</v>
      </c>
      <c r="D12" s="13"/>
    </row>
    <row r="13" customFormat="false" ht="15" hidden="false" customHeight="true" outlineLevel="0" collapsed="false">
      <c r="A13" s="14" t="s">
        <v>36</v>
      </c>
      <c r="B13" s="14" t="s">
        <v>22</v>
      </c>
      <c r="C13" s="14" t="s">
        <v>37</v>
      </c>
      <c r="D13" s="14"/>
    </row>
    <row r="14" customFormat="false" ht="15" hidden="false" customHeight="true" outlineLevel="0" collapsed="false">
      <c r="A14" s="13" t="s">
        <v>38</v>
      </c>
      <c r="B14" s="13" t="s">
        <v>22</v>
      </c>
      <c r="C14" s="13" t="s">
        <v>39</v>
      </c>
      <c r="D14" s="13"/>
    </row>
    <row r="15" customFormat="false" ht="15" hidden="false" customHeight="true" outlineLevel="0" collapsed="false">
      <c r="A15" s="14" t="s">
        <v>40</v>
      </c>
      <c r="B15" s="14" t="s">
        <v>22</v>
      </c>
      <c r="C15" s="14" t="s">
        <v>41</v>
      </c>
      <c r="D15" s="14"/>
    </row>
    <row r="16" customFormat="false" ht="15" hidden="false" customHeight="true" outlineLevel="0" collapsed="false">
      <c r="A16" s="13" t="s">
        <v>42</v>
      </c>
      <c r="B16" s="13" t="s">
        <v>22</v>
      </c>
      <c r="C16" s="13" t="s">
        <v>43</v>
      </c>
      <c r="D16" s="13"/>
    </row>
    <row r="17" customFormat="false" ht="15" hidden="false" customHeight="true" outlineLevel="0" collapsed="false">
      <c r="A17" s="14" t="s">
        <v>44</v>
      </c>
      <c r="B17" s="14" t="s">
        <v>22</v>
      </c>
      <c r="C17" s="14" t="s">
        <v>45</v>
      </c>
      <c r="D17" s="14"/>
    </row>
    <row r="18" customFormat="false" ht="15" hidden="false" customHeight="true" outlineLevel="0" collapsed="false">
      <c r="A18" s="13" t="s">
        <v>46</v>
      </c>
      <c r="B18" s="13" t="s">
        <v>22</v>
      </c>
      <c r="C18" s="13" t="s">
        <v>47</v>
      </c>
      <c r="D18" s="13"/>
    </row>
    <row r="19" customFormat="false" ht="15" hidden="false" customHeight="true" outlineLevel="0" collapsed="false">
      <c r="A19" s="14" t="s">
        <v>48</v>
      </c>
      <c r="B19" s="14" t="s">
        <v>22</v>
      </c>
      <c r="C19" s="14" t="s">
        <v>49</v>
      </c>
      <c r="D19" s="14"/>
    </row>
    <row r="20" customFormat="false" ht="15" hidden="false" customHeight="true" outlineLevel="0" collapsed="false">
      <c r="A20" s="13" t="s">
        <v>50</v>
      </c>
      <c r="B20" s="13" t="s">
        <v>22</v>
      </c>
      <c r="C20" s="13" t="s">
        <v>51</v>
      </c>
      <c r="D20" s="13"/>
    </row>
    <row r="21" customFormat="false" ht="15" hidden="false" customHeight="true" outlineLevel="0" collapsed="false">
      <c r="A21" s="11" t="s">
        <v>52</v>
      </c>
      <c r="B21" s="11" t="s">
        <v>18</v>
      </c>
      <c r="C21" s="11" t="s">
        <v>53</v>
      </c>
      <c r="D21" s="12" t="s">
        <v>20</v>
      </c>
    </row>
    <row r="22" customFormat="false" ht="15" hidden="false" customHeight="true" outlineLevel="0" collapsed="false">
      <c r="A22" s="13" t="s">
        <v>54</v>
      </c>
      <c r="B22" s="13" t="s">
        <v>22</v>
      </c>
      <c r="C22" s="13" t="s">
        <v>55</v>
      </c>
      <c r="D22" s="13"/>
    </row>
    <row r="23" customFormat="false" ht="15" hidden="false" customHeight="true" outlineLevel="0" collapsed="false">
      <c r="A23" s="14" t="s">
        <v>56</v>
      </c>
      <c r="B23" s="14" t="s">
        <v>22</v>
      </c>
      <c r="C23" s="14" t="s">
        <v>57</v>
      </c>
      <c r="D23" s="14"/>
    </row>
    <row r="24" customFormat="false" ht="15" hidden="false" customHeight="true" outlineLevel="0" collapsed="false">
      <c r="A24" s="13" t="s">
        <v>58</v>
      </c>
      <c r="B24" s="13" t="s">
        <v>22</v>
      </c>
      <c r="C24" s="13" t="s">
        <v>59</v>
      </c>
      <c r="D24" s="13"/>
    </row>
    <row r="25" customFormat="false" ht="15" hidden="false" customHeight="true" outlineLevel="0" collapsed="false">
      <c r="A25" s="14" t="s">
        <v>60</v>
      </c>
      <c r="B25" s="14" t="s">
        <v>22</v>
      </c>
      <c r="C25" s="14" t="s">
        <v>61</v>
      </c>
      <c r="D25" s="14"/>
    </row>
    <row r="26" customFormat="false" ht="15" hidden="false" customHeight="true" outlineLevel="0" collapsed="false">
      <c r="A26" s="13" t="s">
        <v>62</v>
      </c>
      <c r="B26" s="13" t="s">
        <v>22</v>
      </c>
      <c r="C26" s="13" t="s">
        <v>63</v>
      </c>
      <c r="D26" s="13"/>
    </row>
    <row r="27" customFormat="false" ht="15" hidden="false" customHeight="true" outlineLevel="0" collapsed="false">
      <c r="A27" s="14" t="s">
        <v>64</v>
      </c>
      <c r="B27" s="14" t="s">
        <v>22</v>
      </c>
      <c r="C27" s="14" t="s">
        <v>65</v>
      </c>
      <c r="D27" s="14"/>
    </row>
    <row r="28" customFormat="false" ht="15" hidden="false" customHeight="true" outlineLevel="0" collapsed="false">
      <c r="A28" s="13" t="s">
        <v>66</v>
      </c>
      <c r="B28" s="13" t="s">
        <v>22</v>
      </c>
      <c r="C28" s="13" t="s">
        <v>67</v>
      </c>
      <c r="D28" s="13"/>
    </row>
    <row r="29" customFormat="false" ht="15" hidden="false" customHeight="true" outlineLevel="0" collapsed="false">
      <c r="A29" s="14" t="s">
        <v>68</v>
      </c>
      <c r="B29" s="14" t="s">
        <v>22</v>
      </c>
      <c r="C29" s="14" t="s">
        <v>69</v>
      </c>
      <c r="D29" s="14"/>
    </row>
    <row r="30" customFormat="false" ht="15" hidden="false" customHeight="true" outlineLevel="0" collapsed="false">
      <c r="A30" s="13" t="s">
        <v>70</v>
      </c>
      <c r="B30" s="13" t="s">
        <v>22</v>
      </c>
      <c r="C30" s="13" t="s">
        <v>71</v>
      </c>
      <c r="D30" s="13"/>
    </row>
    <row r="31" customFormat="false" ht="15" hidden="false" customHeight="true" outlineLevel="0" collapsed="false">
      <c r="A31" s="14" t="s">
        <v>72</v>
      </c>
      <c r="B31" s="14" t="s">
        <v>22</v>
      </c>
      <c r="C31" s="14" t="s">
        <v>73</v>
      </c>
      <c r="D31" s="14"/>
    </row>
    <row r="32" customFormat="false" ht="15" hidden="false" customHeight="true" outlineLevel="0" collapsed="false">
      <c r="A32" s="13" t="s">
        <v>74</v>
      </c>
      <c r="B32" s="13" t="s">
        <v>22</v>
      </c>
      <c r="C32" s="13" t="s">
        <v>75</v>
      </c>
      <c r="D32" s="13"/>
    </row>
    <row r="33" customFormat="false" ht="15" hidden="false" customHeight="true" outlineLevel="0" collapsed="false">
      <c r="A33" s="14" t="s">
        <v>76</v>
      </c>
      <c r="B33" s="14" t="s">
        <v>22</v>
      </c>
      <c r="C33" s="14" t="s">
        <v>77</v>
      </c>
      <c r="D33" s="14"/>
    </row>
    <row r="34" customFormat="false" ht="15" hidden="false" customHeight="true" outlineLevel="0" collapsed="false">
      <c r="A34" s="13" t="s">
        <v>78</v>
      </c>
      <c r="B34" s="13" t="s">
        <v>22</v>
      </c>
      <c r="C34" s="13" t="s">
        <v>79</v>
      </c>
      <c r="D34" s="13"/>
    </row>
    <row r="35" customFormat="false" ht="15" hidden="false" customHeight="true" outlineLevel="0" collapsed="false">
      <c r="A35" s="14" t="s">
        <v>80</v>
      </c>
      <c r="B35" s="14" t="s">
        <v>22</v>
      </c>
      <c r="C35" s="14" t="s">
        <v>81</v>
      </c>
      <c r="D35" s="14"/>
    </row>
    <row r="36" customFormat="false" ht="15" hidden="false" customHeight="true" outlineLevel="0" collapsed="false">
      <c r="A36" s="13" t="s">
        <v>82</v>
      </c>
      <c r="B36" s="13" t="s">
        <v>22</v>
      </c>
      <c r="C36" s="13" t="s">
        <v>83</v>
      </c>
      <c r="D36" s="13"/>
    </row>
    <row r="37" customFormat="false" ht="15" hidden="false" customHeight="true" outlineLevel="0" collapsed="false">
      <c r="A37" s="11" t="s">
        <v>84</v>
      </c>
      <c r="B37" s="11" t="s">
        <v>18</v>
      </c>
      <c r="C37" s="11" t="s">
        <v>85</v>
      </c>
      <c r="D37" s="12" t="s">
        <v>20</v>
      </c>
    </row>
    <row r="38" customFormat="false" ht="15" hidden="false" customHeight="true" outlineLevel="0" collapsed="false">
      <c r="A38" s="13" t="s">
        <v>86</v>
      </c>
      <c r="B38" s="13" t="s">
        <v>22</v>
      </c>
      <c r="C38" s="13" t="s">
        <v>87</v>
      </c>
      <c r="D38" s="13"/>
    </row>
    <row r="39" customFormat="false" ht="15" hidden="false" customHeight="true" outlineLevel="0" collapsed="false">
      <c r="A39" s="14" t="s">
        <v>88</v>
      </c>
      <c r="B39" s="14" t="s">
        <v>22</v>
      </c>
      <c r="C39" s="14" t="s">
        <v>89</v>
      </c>
      <c r="D39" s="14"/>
    </row>
    <row r="40" customFormat="false" ht="15" hidden="false" customHeight="true" outlineLevel="0" collapsed="false">
      <c r="A40" s="13" t="s">
        <v>90</v>
      </c>
      <c r="B40" s="13" t="s">
        <v>22</v>
      </c>
      <c r="C40" s="13" t="s">
        <v>91</v>
      </c>
      <c r="D40" s="13"/>
    </row>
    <row r="41" customFormat="false" ht="15" hidden="false" customHeight="true" outlineLevel="0" collapsed="false">
      <c r="A41" s="14" t="s">
        <v>92</v>
      </c>
      <c r="B41" s="14" t="s">
        <v>22</v>
      </c>
      <c r="C41" s="14" t="s">
        <v>93</v>
      </c>
      <c r="D41" s="14"/>
    </row>
    <row r="42" customFormat="false" ht="15" hidden="false" customHeight="true" outlineLevel="0" collapsed="false">
      <c r="A42" s="13" t="s">
        <v>94</v>
      </c>
      <c r="B42" s="13" t="s">
        <v>22</v>
      </c>
      <c r="C42" s="13" t="s">
        <v>95</v>
      </c>
      <c r="D42" s="13"/>
    </row>
    <row r="43" customFormat="false" ht="15" hidden="false" customHeight="true" outlineLevel="0" collapsed="false">
      <c r="A43" s="14" t="s">
        <v>96</v>
      </c>
      <c r="B43" s="14" t="s">
        <v>22</v>
      </c>
      <c r="C43" s="14" t="s">
        <v>97</v>
      </c>
      <c r="D43" s="14"/>
    </row>
    <row r="44" customFormat="false" ht="15" hidden="false" customHeight="true" outlineLevel="0" collapsed="false">
      <c r="A44" s="13" t="s">
        <v>98</v>
      </c>
      <c r="B44" s="13" t="s">
        <v>22</v>
      </c>
      <c r="C44" s="13" t="s">
        <v>99</v>
      </c>
      <c r="D44" s="13"/>
    </row>
    <row r="45" customFormat="false" ht="15" hidden="false" customHeight="true" outlineLevel="0" collapsed="false">
      <c r="A45" s="14" t="s">
        <v>100</v>
      </c>
      <c r="B45" s="14" t="s">
        <v>22</v>
      </c>
      <c r="C45" s="14" t="s">
        <v>101</v>
      </c>
      <c r="D45" s="14"/>
    </row>
    <row r="46" customFormat="false" ht="15" hidden="false" customHeight="true" outlineLevel="0" collapsed="false">
      <c r="A46" s="13" t="s">
        <v>102</v>
      </c>
      <c r="B46" s="13" t="s">
        <v>22</v>
      </c>
      <c r="C46" s="13" t="s">
        <v>103</v>
      </c>
      <c r="D46" s="13"/>
    </row>
    <row r="47" customFormat="false" ht="15" hidden="false" customHeight="true" outlineLevel="0" collapsed="false">
      <c r="A47" s="14" t="s">
        <v>104</v>
      </c>
      <c r="B47" s="14" t="s">
        <v>22</v>
      </c>
      <c r="C47" s="14" t="s">
        <v>105</v>
      </c>
      <c r="D47" s="14"/>
    </row>
    <row r="48" customFormat="false" ht="15" hidden="false" customHeight="true" outlineLevel="0" collapsed="false">
      <c r="A48" s="13" t="s">
        <v>106</v>
      </c>
      <c r="B48" s="13" t="s">
        <v>22</v>
      </c>
      <c r="C48" s="13" t="s">
        <v>107</v>
      </c>
      <c r="D48" s="13"/>
    </row>
    <row r="49" customFormat="false" ht="15" hidden="false" customHeight="true" outlineLevel="0" collapsed="false">
      <c r="A49" s="14" t="s">
        <v>108</v>
      </c>
      <c r="B49" s="14" t="s">
        <v>22</v>
      </c>
      <c r="C49" s="14" t="s">
        <v>109</v>
      </c>
      <c r="D49" s="14"/>
    </row>
    <row r="50" customFormat="false" ht="15" hidden="false" customHeight="true" outlineLevel="0" collapsed="false">
      <c r="A50" s="13" t="s">
        <v>110</v>
      </c>
      <c r="B50" s="13" t="s">
        <v>22</v>
      </c>
      <c r="C50" s="13" t="s">
        <v>111</v>
      </c>
      <c r="D50" s="13"/>
    </row>
    <row r="51" customFormat="false" ht="15" hidden="false" customHeight="true" outlineLevel="0" collapsed="false">
      <c r="A51" s="14" t="s">
        <v>112</v>
      </c>
      <c r="B51" s="14" t="s">
        <v>22</v>
      </c>
      <c r="C51" s="14" t="s">
        <v>113</v>
      </c>
      <c r="D51" s="14"/>
    </row>
    <row r="52" customFormat="false" ht="15" hidden="false" customHeight="true" outlineLevel="0" collapsed="false">
      <c r="A52" s="13" t="s">
        <v>114</v>
      </c>
      <c r="B52" s="13" t="s">
        <v>22</v>
      </c>
      <c r="C52" s="13" t="s">
        <v>115</v>
      </c>
      <c r="D52" s="13"/>
    </row>
    <row r="53" customFormat="false" ht="15" hidden="false" customHeight="true" outlineLevel="0" collapsed="false">
      <c r="A53" s="11" t="s">
        <v>116</v>
      </c>
      <c r="B53" s="11" t="s">
        <v>18</v>
      </c>
      <c r="C53" s="11" t="s">
        <v>117</v>
      </c>
      <c r="D53" s="12" t="s">
        <v>118</v>
      </c>
    </row>
    <row r="54" customFormat="false" ht="15" hidden="false" customHeight="true" outlineLevel="0" collapsed="false">
      <c r="A54" s="13" t="s">
        <v>119</v>
      </c>
      <c r="B54" s="13" t="s">
        <v>22</v>
      </c>
      <c r="C54" s="13" t="s">
        <v>120</v>
      </c>
      <c r="D54" s="13"/>
    </row>
    <row r="55" customFormat="false" ht="15" hidden="false" customHeight="true" outlineLevel="0" collapsed="false">
      <c r="A55" s="14" t="s">
        <v>121</v>
      </c>
      <c r="B55" s="14" t="s">
        <v>22</v>
      </c>
      <c r="C55" s="14" t="s">
        <v>122</v>
      </c>
      <c r="D55" s="14"/>
    </row>
    <row r="56" customFormat="false" ht="15" hidden="false" customHeight="true" outlineLevel="0" collapsed="false">
      <c r="A56" s="13" t="s">
        <v>123</v>
      </c>
      <c r="B56" s="13" t="s">
        <v>22</v>
      </c>
      <c r="C56" s="13" t="s">
        <v>124</v>
      </c>
      <c r="D56" s="13"/>
    </row>
    <row r="57" customFormat="false" ht="15" hidden="false" customHeight="true" outlineLevel="0" collapsed="false">
      <c r="A57" s="14" t="s">
        <v>125</v>
      </c>
      <c r="B57" s="14" t="s">
        <v>22</v>
      </c>
      <c r="C57" s="14" t="s">
        <v>126</v>
      </c>
      <c r="D57" s="14"/>
    </row>
    <row r="58" customFormat="false" ht="15" hidden="false" customHeight="true" outlineLevel="0" collapsed="false">
      <c r="A58" s="13" t="s">
        <v>127</v>
      </c>
      <c r="B58" s="13" t="s">
        <v>22</v>
      </c>
      <c r="C58" s="13" t="s">
        <v>128</v>
      </c>
      <c r="D58" s="13"/>
    </row>
    <row r="59" customFormat="false" ht="15" hidden="false" customHeight="true" outlineLevel="0" collapsed="false">
      <c r="A59" s="14" t="s">
        <v>129</v>
      </c>
      <c r="B59" s="14" t="s">
        <v>22</v>
      </c>
      <c r="C59" s="14" t="s">
        <v>130</v>
      </c>
      <c r="D59" s="14"/>
    </row>
    <row r="60" customFormat="false" ht="15" hidden="false" customHeight="true" outlineLevel="0" collapsed="false">
      <c r="A60" s="13" t="s">
        <v>131</v>
      </c>
      <c r="B60" s="13" t="s">
        <v>22</v>
      </c>
      <c r="C60" s="13" t="s">
        <v>132</v>
      </c>
      <c r="D60" s="13"/>
    </row>
    <row r="61" customFormat="false" ht="15" hidden="false" customHeight="true" outlineLevel="0" collapsed="false">
      <c r="A61" s="14" t="s">
        <v>133</v>
      </c>
      <c r="B61" s="14" t="s">
        <v>22</v>
      </c>
      <c r="C61" s="14" t="s">
        <v>134</v>
      </c>
      <c r="D61" s="14"/>
    </row>
    <row r="62" customFormat="false" ht="15" hidden="false" customHeight="true" outlineLevel="0" collapsed="false">
      <c r="A62" s="11" t="s">
        <v>135</v>
      </c>
      <c r="B62" s="11" t="s">
        <v>18</v>
      </c>
      <c r="C62" s="11" t="s">
        <v>136</v>
      </c>
      <c r="D62" s="12" t="s">
        <v>137</v>
      </c>
    </row>
    <row r="63" customFormat="false" ht="15" hidden="false" customHeight="true" outlineLevel="0" collapsed="false">
      <c r="A63" s="13" t="s">
        <v>138</v>
      </c>
      <c r="B63" s="13" t="s">
        <v>22</v>
      </c>
      <c r="C63" s="13" t="s">
        <v>139</v>
      </c>
      <c r="D63" s="13"/>
    </row>
    <row r="64" customFormat="false" ht="15" hidden="false" customHeight="true" outlineLevel="0" collapsed="false">
      <c r="A64" s="14" t="s">
        <v>140</v>
      </c>
      <c r="B64" s="14" t="s">
        <v>22</v>
      </c>
      <c r="C64" s="14" t="s">
        <v>141</v>
      </c>
      <c r="D64" s="14"/>
    </row>
    <row r="65" customFormat="false" ht="15" hidden="false" customHeight="true" outlineLevel="0" collapsed="false">
      <c r="A65" s="13" t="s">
        <v>142</v>
      </c>
      <c r="B65" s="13" t="s">
        <v>22</v>
      </c>
      <c r="C65" s="13" t="s">
        <v>143</v>
      </c>
      <c r="D65" s="13"/>
    </row>
    <row r="66" customFormat="false" ht="15" hidden="false" customHeight="true" outlineLevel="0" collapsed="false">
      <c r="A66" s="14" t="s">
        <v>144</v>
      </c>
      <c r="B66" s="14" t="s">
        <v>22</v>
      </c>
      <c r="C66" s="14" t="s">
        <v>145</v>
      </c>
      <c r="D66" s="14"/>
    </row>
    <row r="67" customFormat="false" ht="15" hidden="false" customHeight="true" outlineLevel="0" collapsed="false">
      <c r="A67" s="13" t="s">
        <v>146</v>
      </c>
      <c r="B67" s="13" t="s">
        <v>22</v>
      </c>
      <c r="C67" s="13" t="s">
        <v>147</v>
      </c>
      <c r="D67" s="13"/>
    </row>
    <row r="68" customFormat="false" ht="15" hidden="false" customHeight="true" outlineLevel="0" collapsed="false">
      <c r="A68" s="14" t="s">
        <v>148</v>
      </c>
      <c r="B68" s="14" t="s">
        <v>22</v>
      </c>
      <c r="C68" s="14" t="s">
        <v>149</v>
      </c>
      <c r="D68" s="14"/>
    </row>
    <row r="69" customFormat="false" ht="15" hidden="false" customHeight="true" outlineLevel="0" collapsed="false">
      <c r="A69" s="13" t="s">
        <v>150</v>
      </c>
      <c r="B69" s="13" t="s">
        <v>22</v>
      </c>
      <c r="C69" s="13" t="s">
        <v>151</v>
      </c>
      <c r="D69" s="13"/>
    </row>
    <row r="70" customFormat="false" ht="15" hidden="false" customHeight="true" outlineLevel="0" collapsed="false">
      <c r="A70" s="14" t="s">
        <v>152</v>
      </c>
      <c r="B70" s="14" t="s">
        <v>22</v>
      </c>
      <c r="C70" s="14" t="s">
        <v>153</v>
      </c>
      <c r="D70" s="14"/>
    </row>
    <row r="71" customFormat="false" ht="15" hidden="false" customHeight="true" outlineLevel="0" collapsed="false">
      <c r="A71" s="13" t="s">
        <v>154</v>
      </c>
      <c r="B71" s="13" t="s">
        <v>22</v>
      </c>
      <c r="C71" s="13" t="s">
        <v>155</v>
      </c>
      <c r="D71" s="13"/>
    </row>
    <row r="72" customFormat="false" ht="15" hidden="false" customHeight="true" outlineLevel="0" collapsed="false">
      <c r="A72" s="14" t="s">
        <v>156</v>
      </c>
      <c r="B72" s="14" t="s">
        <v>22</v>
      </c>
      <c r="C72" s="14" t="s">
        <v>157</v>
      </c>
      <c r="D72" s="14"/>
    </row>
    <row r="73" customFormat="false" ht="15" hidden="false" customHeight="true" outlineLevel="0" collapsed="false">
      <c r="A73" s="13" t="s">
        <v>158</v>
      </c>
      <c r="B73" s="13" t="s">
        <v>22</v>
      </c>
      <c r="C73" s="13" t="s">
        <v>159</v>
      </c>
      <c r="D73" s="13"/>
    </row>
    <row r="74" customFormat="false" ht="15" hidden="false" customHeight="true" outlineLevel="0" collapsed="false">
      <c r="A74" s="14" t="s">
        <v>160</v>
      </c>
      <c r="B74" s="14" t="s">
        <v>22</v>
      </c>
      <c r="C74" s="14" t="s">
        <v>161</v>
      </c>
      <c r="D74" s="14"/>
    </row>
    <row r="75" customFormat="false" ht="15" hidden="false" customHeight="true" outlineLevel="0" collapsed="false">
      <c r="A75" s="13" t="s">
        <v>162</v>
      </c>
      <c r="B75" s="13" t="s">
        <v>22</v>
      </c>
      <c r="C75" s="13" t="s">
        <v>163</v>
      </c>
      <c r="D75" s="13"/>
    </row>
    <row r="76" customFormat="false" ht="15" hidden="false" customHeight="true" outlineLevel="0" collapsed="false">
      <c r="A76" s="14" t="s">
        <v>164</v>
      </c>
      <c r="B76" s="14" t="s">
        <v>22</v>
      </c>
      <c r="C76" s="14" t="s">
        <v>165</v>
      </c>
      <c r="D76" s="14"/>
    </row>
    <row r="77" customFormat="false" ht="15" hidden="false" customHeight="true" outlineLevel="0" collapsed="false">
      <c r="A77" s="13" t="s">
        <v>166</v>
      </c>
      <c r="B77" s="13" t="s">
        <v>22</v>
      </c>
      <c r="C77" s="13" t="s">
        <v>167</v>
      </c>
      <c r="D77" s="13"/>
    </row>
    <row r="78" customFormat="false" ht="15" hidden="false" customHeight="true" outlineLevel="0" collapsed="false">
      <c r="A78" s="14" t="s">
        <v>168</v>
      </c>
      <c r="B78" s="14" t="s">
        <v>22</v>
      </c>
      <c r="C78" s="14" t="s">
        <v>169</v>
      </c>
      <c r="D78" s="14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C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75"/>
  </cols>
  <sheetData>
    <row r="2" customFormat="false" ht="19.5" hidden="false" customHeight="true" outlineLevel="0" collapsed="false">
      <c r="B2" s="8" t="s">
        <v>170</v>
      </c>
      <c r="C2" s="8"/>
    </row>
    <row r="3" customFormat="false" ht="15" hidden="false" customHeight="true" outlineLevel="0" collapsed="false">
      <c r="B3" s="9" t="s">
        <v>171</v>
      </c>
      <c r="C3" s="9"/>
    </row>
    <row r="5" customFormat="false" ht="25.5" hidden="false" customHeight="true" outlineLevel="0" collapsed="false">
      <c r="B5" s="15" t="s">
        <v>172</v>
      </c>
      <c r="C5" s="16" t="s">
        <v>173</v>
      </c>
    </row>
    <row r="6" customFormat="false" ht="21.75" hidden="false" customHeight="true" outlineLevel="0" collapsed="false">
      <c r="B6" s="17" t="s">
        <v>17</v>
      </c>
      <c r="C6" s="18" t="s">
        <v>19</v>
      </c>
    </row>
    <row r="7" customFormat="false" ht="18" hidden="false" customHeight="true" outlineLevel="0" collapsed="false">
      <c r="A7" s="19"/>
      <c r="B7" s="20" t="s">
        <v>174</v>
      </c>
      <c r="C7" s="21" t="s">
        <v>23</v>
      </c>
    </row>
    <row r="8" customFormat="false" ht="18" hidden="false" customHeight="true" outlineLevel="0" collapsed="false">
      <c r="A8" s="19"/>
      <c r="B8" s="20" t="s">
        <v>175</v>
      </c>
      <c r="C8" s="21" t="s">
        <v>25</v>
      </c>
    </row>
    <row r="9" customFormat="false" ht="18" hidden="false" customHeight="true" outlineLevel="0" collapsed="false">
      <c r="A9" s="19"/>
      <c r="B9" s="20" t="s">
        <v>176</v>
      </c>
      <c r="C9" s="21" t="s">
        <v>27</v>
      </c>
    </row>
    <row r="10" customFormat="false" ht="18" hidden="false" customHeight="true" outlineLevel="0" collapsed="false">
      <c r="A10" s="19"/>
      <c r="B10" s="20" t="s">
        <v>177</v>
      </c>
      <c r="C10" s="21" t="s">
        <v>29</v>
      </c>
    </row>
    <row r="11" customFormat="false" ht="18" hidden="false" customHeight="true" outlineLevel="0" collapsed="false">
      <c r="A11" s="19"/>
      <c r="B11" s="20" t="s">
        <v>178</v>
      </c>
      <c r="C11" s="21" t="s">
        <v>31</v>
      </c>
    </row>
    <row r="12" customFormat="false" ht="18" hidden="false" customHeight="true" outlineLevel="0" collapsed="false">
      <c r="A12" s="19"/>
      <c r="B12" s="20" t="s">
        <v>179</v>
      </c>
      <c r="C12" s="21" t="s">
        <v>33</v>
      </c>
    </row>
    <row r="13" customFormat="false" ht="18" hidden="false" customHeight="true" outlineLevel="0" collapsed="false">
      <c r="A13" s="19"/>
      <c r="B13" s="20" t="s">
        <v>180</v>
      </c>
      <c r="C13" s="21" t="s">
        <v>35</v>
      </c>
    </row>
    <row r="14" customFormat="false" ht="18" hidden="false" customHeight="true" outlineLevel="0" collapsed="false">
      <c r="A14" s="19"/>
      <c r="B14" s="20" t="s">
        <v>181</v>
      </c>
      <c r="C14" s="21" t="s">
        <v>37</v>
      </c>
    </row>
    <row r="15" customFormat="false" ht="18" hidden="false" customHeight="true" outlineLevel="0" collapsed="false">
      <c r="A15" s="19"/>
      <c r="B15" s="20" t="s">
        <v>182</v>
      </c>
      <c r="C15" s="21" t="s">
        <v>39</v>
      </c>
    </row>
    <row r="16" customFormat="false" ht="18" hidden="false" customHeight="true" outlineLevel="0" collapsed="false">
      <c r="A16" s="19"/>
      <c r="B16" s="20" t="s">
        <v>183</v>
      </c>
      <c r="C16" s="21" t="s">
        <v>41</v>
      </c>
    </row>
    <row r="17" customFormat="false" ht="18" hidden="false" customHeight="true" outlineLevel="0" collapsed="false">
      <c r="A17" s="19"/>
      <c r="B17" s="20" t="s">
        <v>184</v>
      </c>
      <c r="C17" s="21" t="s">
        <v>43</v>
      </c>
    </row>
    <row r="18" customFormat="false" ht="18" hidden="false" customHeight="true" outlineLevel="0" collapsed="false">
      <c r="A18" s="19"/>
      <c r="B18" s="20" t="s">
        <v>185</v>
      </c>
      <c r="C18" s="21" t="s">
        <v>45</v>
      </c>
    </row>
    <row r="19" customFormat="false" ht="18" hidden="false" customHeight="true" outlineLevel="0" collapsed="false">
      <c r="A19" s="19"/>
      <c r="B19" s="20" t="s">
        <v>186</v>
      </c>
      <c r="C19" s="21" t="s">
        <v>47</v>
      </c>
    </row>
    <row r="20" customFormat="false" ht="18" hidden="false" customHeight="true" outlineLevel="0" collapsed="false">
      <c r="A20" s="19"/>
      <c r="B20" s="20" t="s">
        <v>187</v>
      </c>
      <c r="C20" s="21" t="s">
        <v>49</v>
      </c>
    </row>
    <row r="21" customFormat="false" ht="18" hidden="false" customHeight="true" outlineLevel="0" collapsed="false">
      <c r="A21" s="19"/>
      <c r="B21" s="20" t="s">
        <v>188</v>
      </c>
      <c r="C21" s="21" t="s">
        <v>51</v>
      </c>
    </row>
    <row r="23" customFormat="false" ht="21.75" hidden="false" customHeight="true" outlineLevel="0" collapsed="false">
      <c r="B23" s="22" t="s">
        <v>52</v>
      </c>
      <c r="C23" s="23" t="s">
        <v>53</v>
      </c>
    </row>
    <row r="24" customFormat="false" ht="18" hidden="false" customHeight="true" outlineLevel="0" collapsed="false">
      <c r="A24" s="24"/>
      <c r="B24" s="20" t="s">
        <v>189</v>
      </c>
      <c r="C24" s="21" t="s">
        <v>55</v>
      </c>
    </row>
    <row r="25" customFormat="false" ht="18" hidden="false" customHeight="true" outlineLevel="0" collapsed="false">
      <c r="A25" s="24"/>
      <c r="B25" s="20" t="s">
        <v>190</v>
      </c>
      <c r="C25" s="21" t="s">
        <v>57</v>
      </c>
    </row>
    <row r="26" customFormat="false" ht="18" hidden="false" customHeight="true" outlineLevel="0" collapsed="false">
      <c r="A26" s="24"/>
      <c r="B26" s="20" t="s">
        <v>191</v>
      </c>
      <c r="C26" s="21" t="s">
        <v>59</v>
      </c>
    </row>
    <row r="27" customFormat="false" ht="18" hidden="false" customHeight="true" outlineLevel="0" collapsed="false">
      <c r="A27" s="24"/>
      <c r="B27" s="20" t="s">
        <v>192</v>
      </c>
      <c r="C27" s="21" t="s">
        <v>61</v>
      </c>
    </row>
    <row r="28" customFormat="false" ht="18" hidden="false" customHeight="true" outlineLevel="0" collapsed="false">
      <c r="A28" s="24"/>
      <c r="B28" s="20" t="s">
        <v>193</v>
      </c>
      <c r="C28" s="21" t="s">
        <v>63</v>
      </c>
    </row>
    <row r="29" customFormat="false" ht="18" hidden="false" customHeight="true" outlineLevel="0" collapsed="false">
      <c r="A29" s="24"/>
      <c r="B29" s="20" t="s">
        <v>194</v>
      </c>
      <c r="C29" s="21" t="s">
        <v>65</v>
      </c>
    </row>
    <row r="30" customFormat="false" ht="18" hidden="false" customHeight="true" outlineLevel="0" collapsed="false">
      <c r="A30" s="24"/>
      <c r="B30" s="20" t="s">
        <v>195</v>
      </c>
      <c r="C30" s="21" t="s">
        <v>67</v>
      </c>
    </row>
    <row r="31" customFormat="false" ht="18" hidden="false" customHeight="true" outlineLevel="0" collapsed="false">
      <c r="A31" s="24"/>
      <c r="B31" s="20" t="s">
        <v>196</v>
      </c>
      <c r="C31" s="21" t="s">
        <v>69</v>
      </c>
    </row>
    <row r="32" customFormat="false" ht="18" hidden="false" customHeight="true" outlineLevel="0" collapsed="false">
      <c r="A32" s="24"/>
      <c r="B32" s="20" t="s">
        <v>197</v>
      </c>
      <c r="C32" s="21" t="s">
        <v>71</v>
      </c>
    </row>
    <row r="33" customFormat="false" ht="18" hidden="false" customHeight="true" outlineLevel="0" collapsed="false">
      <c r="A33" s="24"/>
      <c r="B33" s="20" t="s">
        <v>198</v>
      </c>
      <c r="C33" s="21" t="s">
        <v>73</v>
      </c>
    </row>
    <row r="34" customFormat="false" ht="18" hidden="false" customHeight="true" outlineLevel="0" collapsed="false">
      <c r="A34" s="24"/>
      <c r="B34" s="20" t="s">
        <v>199</v>
      </c>
      <c r="C34" s="21" t="s">
        <v>75</v>
      </c>
    </row>
    <row r="35" customFormat="false" ht="18" hidden="false" customHeight="true" outlineLevel="0" collapsed="false">
      <c r="A35" s="24"/>
      <c r="B35" s="20" t="s">
        <v>200</v>
      </c>
      <c r="C35" s="21" t="s">
        <v>77</v>
      </c>
    </row>
    <row r="36" customFormat="false" ht="18" hidden="false" customHeight="true" outlineLevel="0" collapsed="false">
      <c r="A36" s="24"/>
      <c r="B36" s="20" t="s">
        <v>201</v>
      </c>
      <c r="C36" s="21" t="s">
        <v>79</v>
      </c>
    </row>
    <row r="37" customFormat="false" ht="18" hidden="false" customHeight="true" outlineLevel="0" collapsed="false">
      <c r="A37" s="24"/>
      <c r="B37" s="20" t="s">
        <v>202</v>
      </c>
      <c r="C37" s="21" t="s">
        <v>81</v>
      </c>
    </row>
    <row r="38" customFormat="false" ht="18" hidden="false" customHeight="true" outlineLevel="0" collapsed="false">
      <c r="A38" s="24"/>
      <c r="B38" s="20" t="s">
        <v>203</v>
      </c>
      <c r="C38" s="21" t="s">
        <v>83</v>
      </c>
    </row>
    <row r="40" customFormat="false" ht="21.75" hidden="false" customHeight="true" outlineLevel="0" collapsed="false">
      <c r="B40" s="25" t="s">
        <v>84</v>
      </c>
      <c r="C40" s="26" t="s">
        <v>85</v>
      </c>
    </row>
    <row r="41" customFormat="false" ht="18" hidden="false" customHeight="true" outlineLevel="0" collapsed="false">
      <c r="A41" s="27"/>
      <c r="B41" s="20" t="s">
        <v>204</v>
      </c>
      <c r="C41" s="21" t="s">
        <v>87</v>
      </c>
    </row>
    <row r="42" customFormat="false" ht="18" hidden="false" customHeight="true" outlineLevel="0" collapsed="false">
      <c r="A42" s="27"/>
      <c r="B42" s="20" t="s">
        <v>205</v>
      </c>
      <c r="C42" s="21" t="s">
        <v>89</v>
      </c>
    </row>
    <row r="43" customFormat="false" ht="18" hidden="false" customHeight="true" outlineLevel="0" collapsed="false">
      <c r="A43" s="27"/>
      <c r="B43" s="20" t="s">
        <v>206</v>
      </c>
      <c r="C43" s="21" t="s">
        <v>91</v>
      </c>
    </row>
    <row r="44" customFormat="false" ht="18" hidden="false" customHeight="true" outlineLevel="0" collapsed="false">
      <c r="A44" s="27"/>
      <c r="B44" s="20" t="s">
        <v>207</v>
      </c>
      <c r="C44" s="21" t="s">
        <v>93</v>
      </c>
    </row>
    <row r="45" customFormat="false" ht="18" hidden="false" customHeight="true" outlineLevel="0" collapsed="false">
      <c r="A45" s="27"/>
      <c r="B45" s="20" t="s">
        <v>208</v>
      </c>
      <c r="C45" s="21" t="s">
        <v>95</v>
      </c>
    </row>
    <row r="46" customFormat="false" ht="18" hidden="false" customHeight="true" outlineLevel="0" collapsed="false">
      <c r="A46" s="27"/>
      <c r="B46" s="20" t="s">
        <v>209</v>
      </c>
      <c r="C46" s="21" t="s">
        <v>97</v>
      </c>
    </row>
    <row r="47" customFormat="false" ht="18" hidden="false" customHeight="true" outlineLevel="0" collapsed="false">
      <c r="A47" s="27"/>
      <c r="B47" s="20" t="s">
        <v>210</v>
      </c>
      <c r="C47" s="21" t="s">
        <v>99</v>
      </c>
    </row>
    <row r="48" customFormat="false" ht="18" hidden="false" customHeight="true" outlineLevel="0" collapsed="false">
      <c r="A48" s="27"/>
      <c r="B48" s="20" t="s">
        <v>211</v>
      </c>
      <c r="C48" s="21" t="s">
        <v>101</v>
      </c>
    </row>
    <row r="49" customFormat="false" ht="18" hidden="false" customHeight="true" outlineLevel="0" collapsed="false">
      <c r="A49" s="27"/>
      <c r="B49" s="20" t="s">
        <v>212</v>
      </c>
      <c r="C49" s="21" t="s">
        <v>103</v>
      </c>
    </row>
    <row r="50" customFormat="false" ht="18" hidden="false" customHeight="true" outlineLevel="0" collapsed="false">
      <c r="A50" s="27"/>
      <c r="B50" s="20" t="s">
        <v>213</v>
      </c>
      <c r="C50" s="21" t="s">
        <v>105</v>
      </c>
    </row>
    <row r="51" customFormat="false" ht="18" hidden="false" customHeight="true" outlineLevel="0" collapsed="false">
      <c r="A51" s="27"/>
      <c r="B51" s="20" t="s">
        <v>214</v>
      </c>
      <c r="C51" s="21" t="s">
        <v>107</v>
      </c>
    </row>
    <row r="52" customFormat="false" ht="18" hidden="false" customHeight="true" outlineLevel="0" collapsed="false">
      <c r="A52" s="27"/>
      <c r="B52" s="20" t="s">
        <v>215</v>
      </c>
      <c r="C52" s="21" t="s">
        <v>109</v>
      </c>
    </row>
    <row r="53" customFormat="false" ht="18" hidden="false" customHeight="true" outlineLevel="0" collapsed="false">
      <c r="A53" s="27"/>
      <c r="B53" s="20" t="s">
        <v>216</v>
      </c>
      <c r="C53" s="21" t="s">
        <v>111</v>
      </c>
    </row>
    <row r="54" customFormat="false" ht="18" hidden="false" customHeight="true" outlineLevel="0" collapsed="false">
      <c r="A54" s="27"/>
      <c r="B54" s="20" t="s">
        <v>217</v>
      </c>
      <c r="C54" s="21" t="s">
        <v>113</v>
      </c>
    </row>
    <row r="55" customFormat="false" ht="18" hidden="false" customHeight="true" outlineLevel="0" collapsed="false">
      <c r="A55" s="27"/>
      <c r="B55" s="20" t="s">
        <v>218</v>
      </c>
      <c r="C55" s="21" t="s">
        <v>115</v>
      </c>
    </row>
    <row r="57" customFormat="false" ht="21.75" hidden="false" customHeight="true" outlineLevel="0" collapsed="false">
      <c r="B57" s="28" t="s">
        <v>116</v>
      </c>
      <c r="C57" s="29" t="s">
        <v>117</v>
      </c>
    </row>
    <row r="58" customFormat="false" ht="18" hidden="false" customHeight="true" outlineLevel="0" collapsed="false">
      <c r="A58" s="30"/>
      <c r="B58" s="20" t="s">
        <v>219</v>
      </c>
      <c r="C58" s="21" t="s">
        <v>120</v>
      </c>
    </row>
    <row r="59" customFormat="false" ht="18" hidden="false" customHeight="true" outlineLevel="0" collapsed="false">
      <c r="A59" s="30"/>
      <c r="B59" s="20" t="s">
        <v>220</v>
      </c>
      <c r="C59" s="21" t="s">
        <v>122</v>
      </c>
    </row>
    <row r="60" customFormat="false" ht="18" hidden="false" customHeight="true" outlineLevel="0" collapsed="false">
      <c r="A60" s="30"/>
      <c r="B60" s="20" t="s">
        <v>221</v>
      </c>
      <c r="C60" s="21" t="s">
        <v>124</v>
      </c>
    </row>
    <row r="61" customFormat="false" ht="18" hidden="false" customHeight="true" outlineLevel="0" collapsed="false">
      <c r="A61" s="30"/>
      <c r="B61" s="20" t="s">
        <v>222</v>
      </c>
      <c r="C61" s="21" t="s">
        <v>126</v>
      </c>
    </row>
    <row r="62" customFormat="false" ht="18" hidden="false" customHeight="true" outlineLevel="0" collapsed="false">
      <c r="A62" s="30"/>
      <c r="B62" s="20" t="s">
        <v>223</v>
      </c>
      <c r="C62" s="21" t="s">
        <v>128</v>
      </c>
    </row>
    <row r="63" customFormat="false" ht="18" hidden="false" customHeight="true" outlineLevel="0" collapsed="false">
      <c r="A63" s="30"/>
      <c r="B63" s="20" t="s">
        <v>224</v>
      </c>
      <c r="C63" s="21" t="s">
        <v>130</v>
      </c>
    </row>
    <row r="64" customFormat="false" ht="18" hidden="false" customHeight="true" outlineLevel="0" collapsed="false">
      <c r="A64" s="30"/>
      <c r="B64" s="20" t="s">
        <v>225</v>
      </c>
      <c r="C64" s="21" t="s">
        <v>132</v>
      </c>
    </row>
    <row r="65" customFormat="false" ht="18" hidden="false" customHeight="true" outlineLevel="0" collapsed="false">
      <c r="A65" s="30"/>
      <c r="B65" s="20" t="s">
        <v>226</v>
      </c>
      <c r="C65" s="21" t="s">
        <v>134</v>
      </c>
    </row>
    <row r="67" customFormat="false" ht="21.75" hidden="false" customHeight="true" outlineLevel="0" collapsed="false">
      <c r="B67" s="31" t="s">
        <v>135</v>
      </c>
      <c r="C67" s="32" t="s">
        <v>136</v>
      </c>
    </row>
    <row r="68" customFormat="false" ht="18" hidden="false" customHeight="true" outlineLevel="0" collapsed="false">
      <c r="A68" s="33"/>
      <c r="B68" s="20" t="s">
        <v>227</v>
      </c>
      <c r="C68" s="21" t="s">
        <v>139</v>
      </c>
    </row>
    <row r="69" customFormat="false" ht="18" hidden="false" customHeight="true" outlineLevel="0" collapsed="false">
      <c r="A69" s="33"/>
      <c r="B69" s="20" t="s">
        <v>228</v>
      </c>
      <c r="C69" s="21" t="s">
        <v>141</v>
      </c>
    </row>
    <row r="70" customFormat="false" ht="18" hidden="false" customHeight="true" outlineLevel="0" collapsed="false">
      <c r="A70" s="33"/>
      <c r="B70" s="20" t="s">
        <v>229</v>
      </c>
      <c r="C70" s="21" t="s">
        <v>143</v>
      </c>
    </row>
    <row r="71" customFormat="false" ht="18" hidden="false" customHeight="true" outlineLevel="0" collapsed="false">
      <c r="A71" s="33"/>
      <c r="B71" s="20" t="s">
        <v>230</v>
      </c>
      <c r="C71" s="21" t="s">
        <v>145</v>
      </c>
    </row>
    <row r="72" customFormat="false" ht="18" hidden="false" customHeight="true" outlineLevel="0" collapsed="false">
      <c r="A72" s="33"/>
      <c r="B72" s="20" t="s">
        <v>231</v>
      </c>
      <c r="C72" s="21" t="s">
        <v>147</v>
      </c>
    </row>
    <row r="73" customFormat="false" ht="18" hidden="false" customHeight="true" outlineLevel="0" collapsed="false">
      <c r="A73" s="33"/>
      <c r="B73" s="20" t="s">
        <v>232</v>
      </c>
      <c r="C73" s="21" t="s">
        <v>149</v>
      </c>
    </row>
    <row r="74" customFormat="false" ht="18" hidden="false" customHeight="true" outlineLevel="0" collapsed="false">
      <c r="A74" s="33"/>
      <c r="B74" s="20" t="s">
        <v>233</v>
      </c>
      <c r="C74" s="21" t="s">
        <v>151</v>
      </c>
    </row>
    <row r="75" customFormat="false" ht="18" hidden="false" customHeight="true" outlineLevel="0" collapsed="false">
      <c r="A75" s="33"/>
      <c r="B75" s="20" t="s">
        <v>234</v>
      </c>
      <c r="C75" s="21" t="s">
        <v>153</v>
      </c>
    </row>
    <row r="76" customFormat="false" ht="18" hidden="false" customHeight="true" outlineLevel="0" collapsed="false">
      <c r="A76" s="33"/>
      <c r="B76" s="20" t="s">
        <v>235</v>
      </c>
      <c r="C76" s="21" t="s">
        <v>155</v>
      </c>
    </row>
    <row r="77" customFormat="false" ht="18" hidden="false" customHeight="true" outlineLevel="0" collapsed="false">
      <c r="A77" s="33"/>
      <c r="B77" s="20" t="s">
        <v>236</v>
      </c>
      <c r="C77" s="21" t="s">
        <v>157</v>
      </c>
    </row>
    <row r="78" customFormat="false" ht="18" hidden="false" customHeight="true" outlineLevel="0" collapsed="false">
      <c r="A78" s="33"/>
      <c r="B78" s="20" t="s">
        <v>237</v>
      </c>
      <c r="C78" s="21" t="s">
        <v>159</v>
      </c>
    </row>
    <row r="79" customFormat="false" ht="18" hidden="false" customHeight="true" outlineLevel="0" collapsed="false">
      <c r="A79" s="33"/>
      <c r="B79" s="20" t="s">
        <v>238</v>
      </c>
      <c r="C79" s="21" t="s">
        <v>161</v>
      </c>
    </row>
    <row r="80" customFormat="false" ht="18" hidden="false" customHeight="true" outlineLevel="0" collapsed="false">
      <c r="A80" s="33"/>
      <c r="B80" s="20" t="s">
        <v>239</v>
      </c>
      <c r="C80" s="21" t="s">
        <v>163</v>
      </c>
    </row>
    <row r="81" customFormat="false" ht="18" hidden="false" customHeight="true" outlineLevel="0" collapsed="false">
      <c r="A81" s="33"/>
      <c r="B81" s="20" t="s">
        <v>240</v>
      </c>
      <c r="C81" s="21" t="s">
        <v>165</v>
      </c>
    </row>
    <row r="82" customFormat="false" ht="18" hidden="false" customHeight="true" outlineLevel="0" collapsed="false">
      <c r="A82" s="33"/>
      <c r="B82" s="20" t="s">
        <v>241</v>
      </c>
      <c r="C82" s="21" t="s">
        <v>167</v>
      </c>
    </row>
    <row r="83" customFormat="false" ht="18" hidden="false" customHeight="true" outlineLevel="0" collapsed="false">
      <c r="A83" s="33"/>
      <c r="B83" s="20" t="s">
        <v>242</v>
      </c>
      <c r="C83" s="21" t="s">
        <v>169</v>
      </c>
    </row>
    <row r="86" customFormat="false" ht="15" hidden="false" customHeight="true" outlineLevel="0" collapsed="false">
      <c r="B86" s="34" t="s">
        <v>243</v>
      </c>
    </row>
    <row r="87" customFormat="false" ht="15.75" hidden="false" customHeight="true" outlineLevel="0" collapsed="false">
      <c r="B87" s="35"/>
      <c r="C87" s="36" t="s">
        <v>244</v>
      </c>
    </row>
    <row r="88" customFormat="false" ht="15.75" hidden="false" customHeight="true" outlineLevel="0" collapsed="false">
      <c r="B88" s="19"/>
      <c r="C88" s="36" t="s">
        <v>245</v>
      </c>
    </row>
    <row r="89" customFormat="false" ht="15.75" hidden="false" customHeight="true" outlineLevel="0" collapsed="false">
      <c r="B89" s="24"/>
      <c r="C89" s="36" t="s">
        <v>246</v>
      </c>
    </row>
    <row r="90" customFormat="false" ht="15.75" hidden="false" customHeight="true" outlineLevel="0" collapsed="false">
      <c r="B90" s="27"/>
      <c r="C90" s="36" t="s">
        <v>247</v>
      </c>
    </row>
    <row r="91" customFormat="false" ht="15.75" hidden="false" customHeight="true" outlineLevel="0" collapsed="false">
      <c r="B91" s="30"/>
      <c r="C91" s="36" t="s">
        <v>248</v>
      </c>
    </row>
    <row r="92" customFormat="false" ht="15.75" hidden="false" customHeight="true" outlineLevel="0" collapsed="false">
      <c r="B92" s="33"/>
      <c r="C92" s="36" t="s">
        <v>249</v>
      </c>
    </row>
  </sheetData>
  <mergeCells count="2">
    <mergeCell ref="B2:C2"/>
    <mergeCell ref="B3:C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"/>
    <col collapsed="false" customWidth="true" hidden="false" outlineLevel="0" max="5" min="4" style="0" width="12"/>
    <col collapsed="false" customWidth="true" hidden="false" outlineLevel="0" max="6" min="6" style="0" width="2"/>
    <col collapsed="false" customWidth="true" hidden="false" outlineLevel="0" max="8" min="7" style="0" width="12"/>
    <col collapsed="false" customWidth="true" hidden="false" outlineLevel="0" max="9" min="9" style="0" width="2"/>
    <col collapsed="false" customWidth="true" hidden="false" outlineLevel="0" max="11" min="10" style="0" width="12"/>
    <col collapsed="false" customWidth="true" hidden="false" outlineLevel="0" max="12" min="12" style="0" width="2"/>
    <col collapsed="false" customWidth="true" hidden="false" outlineLevel="0" max="14" min="13" style="0" width="12"/>
    <col collapsed="false" customWidth="true" hidden="false" outlineLevel="0" max="34" min="15" style="0" width="11"/>
  </cols>
  <sheetData>
    <row r="1" customFormat="false" ht="19.7" hidden="false" customHeight="false" outlineLevel="0" collapsed="false">
      <c r="A1" s="37" t="s">
        <v>250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customFormat="false" ht="15" hidden="false" customHeight="false" outlineLevel="0" collapsed="false">
      <c r="A2" s="38" t="s">
        <v>171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customFormat="false" ht="15" hidden="false" customHeight="false" outlineLevel="0" collapsed="false">
      <c r="A4" s="39" t="s">
        <v>251</v>
      </c>
    </row>
    <row r="6" customFormat="false" ht="31.5" hidden="false" customHeight="true" outlineLevel="0" collapsed="false">
      <c r="A6" s="40" t="s">
        <v>173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 customFormat="false" ht="12" hidden="false" customHeight="true" outlineLevel="0" collapsed="false">
      <c r="G7" s="41"/>
    </row>
    <row r="8" customFormat="false" ht="42" hidden="false" customHeight="true" outlineLevel="0" collapsed="false">
      <c r="A8" s="42" t="s">
        <v>252</v>
      </c>
      <c r="B8" s="42"/>
      <c r="D8" s="43" t="s">
        <v>253</v>
      </c>
      <c r="E8" s="43"/>
      <c r="G8" s="44" t="s">
        <v>254</v>
      </c>
      <c r="H8" s="44"/>
      <c r="J8" s="45" t="s">
        <v>255</v>
      </c>
      <c r="K8" s="45"/>
      <c r="M8" s="46" t="s">
        <v>256</v>
      </c>
      <c r="N8" s="46"/>
    </row>
    <row r="11" customFormat="false" ht="15" hidden="false" customHeight="false" outlineLevel="0" collapsed="false">
      <c r="A11" s="39" t="s">
        <v>257</v>
      </c>
    </row>
    <row r="13" customFormat="false" ht="27.75" hidden="false" customHeight="true" outlineLevel="0" collapsed="false">
      <c r="A13" s="47" t="s">
        <v>258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customFormat="false" ht="7.5" hidden="false" customHeight="true" outlineLevel="0" collapsed="false"/>
    <row r="15" customFormat="false" ht="69.75" hidden="false" customHeight="true" outlineLevel="0" collapsed="false">
      <c r="A15" s="48" t="s">
        <v>259</v>
      </c>
      <c r="B15" s="48"/>
      <c r="C15" s="48" t="s">
        <v>260</v>
      </c>
      <c r="D15" s="48"/>
      <c r="E15" s="48" t="s">
        <v>261</v>
      </c>
      <c r="F15" s="48"/>
      <c r="G15" s="48" t="s">
        <v>262</v>
      </c>
      <c r="H15" s="48"/>
      <c r="I15" s="48" t="s">
        <v>263</v>
      </c>
      <c r="J15" s="48"/>
      <c r="K15" s="48" t="s">
        <v>264</v>
      </c>
      <c r="L15" s="48"/>
      <c r="M15" s="48" t="s">
        <v>265</v>
      </c>
      <c r="N15" s="48"/>
      <c r="O15" s="48" t="s">
        <v>266</v>
      </c>
      <c r="P15" s="48"/>
      <c r="Q15" s="48" t="s">
        <v>267</v>
      </c>
      <c r="R15" s="48"/>
      <c r="S15" s="48" t="s">
        <v>268</v>
      </c>
      <c r="T15" s="48"/>
      <c r="U15" s="48" t="s">
        <v>269</v>
      </c>
      <c r="V15" s="48"/>
      <c r="W15" s="48" t="s">
        <v>270</v>
      </c>
      <c r="X15" s="48"/>
      <c r="Y15" s="48" t="s">
        <v>271</v>
      </c>
      <c r="Z15" s="48"/>
      <c r="AA15" s="48" t="s">
        <v>272</v>
      </c>
      <c r="AB15" s="48"/>
      <c r="AC15" s="48" t="s">
        <v>273</v>
      </c>
      <c r="AD15" s="48"/>
    </row>
    <row r="16" customFormat="false" ht="18" hidden="false" customHeight="true" outlineLevel="0" collapsed="false"/>
    <row r="17" customFormat="false" ht="27.75" hidden="false" customHeight="true" outlineLevel="0" collapsed="false">
      <c r="A17" s="49" t="s">
        <v>274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</row>
    <row r="18" customFormat="false" ht="7.5" hidden="false" customHeight="true" outlineLevel="0" collapsed="false"/>
    <row r="19" customFormat="false" ht="69.75" hidden="false" customHeight="true" outlineLevel="0" collapsed="false">
      <c r="A19" s="48" t="s">
        <v>275</v>
      </c>
      <c r="B19" s="48"/>
      <c r="C19" s="48" t="s">
        <v>276</v>
      </c>
      <c r="D19" s="48"/>
      <c r="E19" s="48" t="s">
        <v>277</v>
      </c>
      <c r="F19" s="48"/>
      <c r="G19" s="48" t="s">
        <v>278</v>
      </c>
      <c r="H19" s="48"/>
      <c r="I19" s="48" t="s">
        <v>279</v>
      </c>
      <c r="J19" s="48"/>
      <c r="K19" s="48" t="s">
        <v>280</v>
      </c>
      <c r="L19" s="48"/>
      <c r="M19" s="48" t="s">
        <v>281</v>
      </c>
      <c r="N19" s="48"/>
      <c r="O19" s="48" t="s">
        <v>282</v>
      </c>
      <c r="P19" s="48"/>
      <c r="Q19" s="48" t="s">
        <v>283</v>
      </c>
      <c r="R19" s="48"/>
      <c r="S19" s="48" t="s">
        <v>284</v>
      </c>
      <c r="T19" s="48"/>
      <c r="U19" s="48" t="s">
        <v>285</v>
      </c>
      <c r="V19" s="48"/>
      <c r="W19" s="48" t="s">
        <v>286</v>
      </c>
      <c r="X19" s="48"/>
      <c r="Y19" s="48" t="s">
        <v>287</v>
      </c>
      <c r="Z19" s="48"/>
      <c r="AA19" s="48" t="s">
        <v>288</v>
      </c>
      <c r="AB19" s="48"/>
      <c r="AC19" s="48" t="s">
        <v>289</v>
      </c>
      <c r="AD19" s="48"/>
    </row>
    <row r="20" customFormat="false" ht="18" hidden="false" customHeight="true" outlineLevel="0" collapsed="false"/>
    <row r="21" customFormat="false" ht="27.75" hidden="false" customHeight="true" outlineLevel="0" collapsed="false">
      <c r="A21" s="50" t="s">
        <v>290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</row>
    <row r="22" customFormat="false" ht="7.5" hidden="false" customHeight="true" outlineLevel="0" collapsed="false"/>
    <row r="23" customFormat="false" ht="69.75" hidden="false" customHeight="true" outlineLevel="0" collapsed="false">
      <c r="A23" s="48" t="s">
        <v>291</v>
      </c>
      <c r="B23" s="48"/>
      <c r="C23" s="48" t="s">
        <v>292</v>
      </c>
      <c r="D23" s="48"/>
      <c r="E23" s="48" t="s">
        <v>293</v>
      </c>
      <c r="F23" s="48"/>
      <c r="G23" s="48" t="s">
        <v>294</v>
      </c>
      <c r="H23" s="48"/>
      <c r="I23" s="48" t="s">
        <v>295</v>
      </c>
      <c r="J23" s="48"/>
      <c r="K23" s="48" t="s">
        <v>296</v>
      </c>
      <c r="L23" s="48"/>
      <c r="M23" s="48" t="s">
        <v>297</v>
      </c>
      <c r="N23" s="48"/>
      <c r="O23" s="48" t="s">
        <v>298</v>
      </c>
      <c r="P23" s="48"/>
      <c r="Q23" s="48" t="s">
        <v>299</v>
      </c>
      <c r="R23" s="48"/>
      <c r="S23" s="48" t="s">
        <v>300</v>
      </c>
      <c r="T23" s="48"/>
      <c r="U23" s="48" t="s">
        <v>301</v>
      </c>
      <c r="V23" s="48"/>
      <c r="W23" s="48" t="s">
        <v>302</v>
      </c>
      <c r="X23" s="48"/>
      <c r="Y23" s="48" t="s">
        <v>303</v>
      </c>
      <c r="Z23" s="48"/>
      <c r="AA23" s="48" t="s">
        <v>304</v>
      </c>
      <c r="AB23" s="48"/>
      <c r="AC23" s="48" t="s">
        <v>305</v>
      </c>
      <c r="AD23" s="48"/>
    </row>
    <row r="24" customFormat="false" ht="18" hidden="false" customHeight="true" outlineLevel="0" collapsed="false"/>
    <row r="25" customFormat="false" ht="27.75" hidden="false" customHeight="true" outlineLevel="0" collapsed="false">
      <c r="A25" s="51" t="s">
        <v>306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</row>
    <row r="26" customFormat="false" ht="7.5" hidden="false" customHeight="true" outlineLevel="0" collapsed="false"/>
    <row r="27" customFormat="false" ht="69.75" hidden="false" customHeight="true" outlineLevel="0" collapsed="false">
      <c r="A27" s="48" t="s">
        <v>307</v>
      </c>
      <c r="B27" s="48"/>
      <c r="C27" s="48" t="s">
        <v>308</v>
      </c>
      <c r="D27" s="48"/>
      <c r="E27" s="48" t="s">
        <v>309</v>
      </c>
      <c r="F27" s="48"/>
      <c r="G27" s="48" t="s">
        <v>310</v>
      </c>
      <c r="H27" s="48"/>
      <c r="I27" s="48" t="s">
        <v>311</v>
      </c>
      <c r="J27" s="48"/>
      <c r="K27" s="48" t="s">
        <v>312</v>
      </c>
      <c r="L27" s="48"/>
      <c r="M27" s="48" t="s">
        <v>313</v>
      </c>
      <c r="N27" s="48"/>
      <c r="O27" s="48" t="s">
        <v>314</v>
      </c>
      <c r="P27" s="48"/>
    </row>
    <row r="28" customFormat="false" ht="18" hidden="false" customHeight="true" outlineLevel="0" collapsed="false"/>
    <row r="29" customFormat="false" ht="27.75" hidden="false" customHeight="true" outlineLevel="0" collapsed="false">
      <c r="A29" s="52" t="s">
        <v>315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</row>
    <row r="30" customFormat="false" ht="7.5" hidden="false" customHeight="true" outlineLevel="0" collapsed="false"/>
    <row r="31" customFormat="false" ht="69.75" hidden="false" customHeight="true" outlineLevel="0" collapsed="false">
      <c r="A31" s="48" t="s">
        <v>316</v>
      </c>
      <c r="B31" s="48"/>
      <c r="C31" s="48" t="s">
        <v>317</v>
      </c>
      <c r="D31" s="48"/>
      <c r="E31" s="48" t="s">
        <v>318</v>
      </c>
      <c r="F31" s="48"/>
      <c r="G31" s="48" t="s">
        <v>319</v>
      </c>
      <c r="H31" s="48"/>
      <c r="I31" s="48" t="s">
        <v>320</v>
      </c>
      <c r="J31" s="48"/>
      <c r="K31" s="48" t="s">
        <v>321</v>
      </c>
      <c r="L31" s="48"/>
      <c r="M31" s="48" t="s">
        <v>322</v>
      </c>
      <c r="N31" s="48"/>
      <c r="O31" s="48" t="s">
        <v>323</v>
      </c>
      <c r="P31" s="48"/>
      <c r="Q31" s="48" t="s">
        <v>324</v>
      </c>
      <c r="R31" s="48"/>
      <c r="S31" s="48" t="s">
        <v>325</v>
      </c>
      <c r="T31" s="48"/>
      <c r="U31" s="48" t="s">
        <v>326</v>
      </c>
      <c r="V31" s="48"/>
      <c r="W31" s="48" t="s">
        <v>327</v>
      </c>
      <c r="X31" s="48"/>
      <c r="Y31" s="48" t="s">
        <v>328</v>
      </c>
      <c r="Z31" s="48"/>
      <c r="AA31" s="48" t="s">
        <v>329</v>
      </c>
      <c r="AB31" s="48"/>
      <c r="AC31" s="48" t="s">
        <v>330</v>
      </c>
      <c r="AD31" s="48"/>
      <c r="AE31" s="48" t="s">
        <v>331</v>
      </c>
      <c r="AF31" s="48"/>
    </row>
    <row r="32" customFormat="false" ht="18" hidden="false" customHeight="true" outlineLevel="0" collapsed="false"/>
  </sheetData>
  <mergeCells count="82">
    <mergeCell ref="A1:N1"/>
    <mergeCell ref="A2:N2"/>
    <mergeCell ref="A6:N6"/>
    <mergeCell ref="A8:B8"/>
    <mergeCell ref="D8:E8"/>
    <mergeCell ref="G8:H8"/>
    <mergeCell ref="J8:K8"/>
    <mergeCell ref="M8:N8"/>
    <mergeCell ref="A13:AD13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7:AD17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1:AD21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5:P25"/>
    <mergeCell ref="A27:B27"/>
    <mergeCell ref="C27:D27"/>
    <mergeCell ref="E27:F27"/>
    <mergeCell ref="G27:H27"/>
    <mergeCell ref="I27:J27"/>
    <mergeCell ref="K27:L27"/>
    <mergeCell ref="M27:N27"/>
    <mergeCell ref="O27:P27"/>
    <mergeCell ref="A29:AF29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4" min="3" style="1" width="18"/>
  </cols>
  <sheetData>
    <row r="1" customFormat="false" ht="19.5" hidden="false" customHeight="true" outlineLevel="0" collapsed="false">
      <c r="A1" s="8" t="s">
        <v>9</v>
      </c>
      <c r="B1" s="8"/>
      <c r="C1" s="8"/>
      <c r="D1" s="8"/>
    </row>
    <row r="2" customFormat="false" ht="21.75" hidden="false" customHeight="true" outlineLevel="0" collapsed="false">
      <c r="A2" s="10" t="s">
        <v>13</v>
      </c>
      <c r="B2" s="10" t="s">
        <v>18</v>
      </c>
      <c r="C2" s="10" t="s">
        <v>332</v>
      </c>
      <c r="D2" s="10" t="s">
        <v>333</v>
      </c>
    </row>
    <row r="3" customFormat="false" ht="15" hidden="false" customHeight="true" outlineLevel="0" collapsed="false">
      <c r="A3" s="53" t="s">
        <v>17</v>
      </c>
      <c r="B3" s="13" t="s">
        <v>19</v>
      </c>
      <c r="C3" s="13" t="n">
        <f aca="false">COUNTIFS(WBS!B:B,"Activity",WBS!A:A,"1.*")</f>
        <v>15</v>
      </c>
      <c r="D3" s="54" t="n">
        <f aca="false">C3/$C$8</f>
        <v>0.217391304347826</v>
      </c>
    </row>
    <row r="4" customFormat="false" ht="15" hidden="false" customHeight="true" outlineLevel="0" collapsed="false">
      <c r="A4" s="53" t="s">
        <v>52</v>
      </c>
      <c r="B4" s="13" t="s">
        <v>53</v>
      </c>
      <c r="C4" s="13" t="n">
        <f aca="false">COUNTIFS(WBS!B:B,"Activity",WBS!A:A,"2.*")</f>
        <v>15</v>
      </c>
      <c r="D4" s="54" t="n">
        <f aca="false">C4/$C$8</f>
        <v>0.217391304347826</v>
      </c>
    </row>
    <row r="5" customFormat="false" ht="15" hidden="false" customHeight="true" outlineLevel="0" collapsed="false">
      <c r="A5" s="53" t="s">
        <v>84</v>
      </c>
      <c r="B5" s="13" t="s">
        <v>85</v>
      </c>
      <c r="C5" s="13" t="n">
        <f aca="false">COUNTIFS(WBS!B:B,"Activity",WBS!A:A,"3.*")</f>
        <v>15</v>
      </c>
      <c r="D5" s="54" t="n">
        <f aca="false">C5/$C$8</f>
        <v>0.217391304347826</v>
      </c>
    </row>
    <row r="6" customFormat="false" ht="15" hidden="false" customHeight="true" outlineLevel="0" collapsed="false">
      <c r="A6" s="53" t="s">
        <v>116</v>
      </c>
      <c r="B6" s="13" t="s">
        <v>117</v>
      </c>
      <c r="C6" s="13" t="n">
        <f aca="false">COUNTIFS(WBS!B:B,"Activity",WBS!A:A,"4.*")</f>
        <v>8</v>
      </c>
      <c r="D6" s="54" t="n">
        <f aca="false">C6/$C$8</f>
        <v>0.115942028985507</v>
      </c>
    </row>
    <row r="7" customFormat="false" ht="15" hidden="false" customHeight="true" outlineLevel="0" collapsed="false">
      <c r="A7" s="53" t="s">
        <v>135</v>
      </c>
      <c r="B7" s="13" t="s">
        <v>136</v>
      </c>
      <c r="C7" s="13" t="n">
        <f aca="false">COUNTIFS(WBS!B:B,"Activity",WBS!A:A,"5.*")</f>
        <v>16</v>
      </c>
      <c r="D7" s="54" t="n">
        <f aca="false">C7/$C$8</f>
        <v>0.231884057971015</v>
      </c>
    </row>
    <row r="8" customFormat="false" ht="15" hidden="false" customHeight="true" outlineLevel="0" collapsed="false">
      <c r="A8" s="55"/>
      <c r="B8" s="56" t="s">
        <v>334</v>
      </c>
      <c r="C8" s="56" t="n">
        <f aca="false">SUM(C3:C7)</f>
        <v>69</v>
      </c>
      <c r="D8" s="57" t="n">
        <f aca="false">C8/C8</f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2026-05-05T12:59:14Z</dcterms:created>
  <dc:creator>openpyxl</dc:creator>
  <dc:description/>
  <dc:language>en-US</dc:language>
  <cp:lastModifiedBy/>
  <dcterms:modified xsi:type="dcterms:W3CDTF">2026-05-05T14:07:59Z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